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ba31378b0b1333c/Documents/"/>
    </mc:Choice>
  </mc:AlternateContent>
  <xr:revisionPtr revIDLastSave="0" documentId="8_{311BD881-3D55-4D07-B43E-1DDE364B1EEC}" xr6:coauthVersionLast="47" xr6:coauthVersionMax="47" xr10:uidLastSave="{00000000-0000-0000-0000-000000000000}"/>
  <bookViews>
    <workbookView xWindow="-110" yWindow="-110" windowWidth="19420" windowHeight="10300" firstSheet="6" activeTab="9" xr2:uid="{00000000-000D-0000-FFFF-FFFF00000000}"/>
  </bookViews>
  <sheets>
    <sheet name="README" sheetId="1" r:id="rId1"/>
    <sheet name="Dataset" sheetId="2" r:id="rId2"/>
    <sheet name="Basic Statistics" sheetId="3" r:id="rId3"/>
    <sheet name="Outlier Summary" sheetId="4" r:id="rId4"/>
    <sheet name="Outliers" sheetId="5" r:id="rId5"/>
    <sheet name="Monthly Trend" sheetId="6" r:id="rId6"/>
    <sheet name="Category Analysis" sheetId="7" r:id="rId7"/>
    <sheet name="City Analysis" sheetId="8" r:id="rId8"/>
    <sheet name="Correlation" sheetId="9" r:id="rId9"/>
    <sheet name="Insights &amp; Recommendation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9" l="1"/>
  <c r="C6" i="9"/>
  <c r="B6" i="9"/>
  <c r="F3" i="9"/>
  <c r="C3" i="9"/>
  <c r="B3" i="9"/>
  <c r="F2" i="9"/>
  <c r="C2" i="9"/>
  <c r="B2" i="9"/>
  <c r="B7" i="8"/>
  <c r="B6" i="8"/>
  <c r="B5" i="8"/>
  <c r="B4" i="8"/>
  <c r="B3" i="8"/>
  <c r="B2" i="8"/>
  <c r="F4" i="7"/>
  <c r="B4" i="7"/>
  <c r="F3" i="7"/>
  <c r="B3" i="7"/>
  <c r="F2" i="7"/>
  <c r="B2" i="7"/>
  <c r="D13" i="6"/>
  <c r="D12" i="6"/>
  <c r="D11" i="6"/>
  <c r="D10" i="6"/>
  <c r="D9" i="6"/>
  <c r="D8" i="6"/>
  <c r="D7" i="6"/>
  <c r="D6" i="6"/>
  <c r="D5" i="6"/>
  <c r="D4" i="6"/>
  <c r="D3" i="6"/>
  <c r="D2" i="6"/>
  <c r="G6" i="3"/>
  <c r="F6" i="3"/>
  <c r="E6" i="3"/>
  <c r="D6" i="3"/>
  <c r="C6" i="3"/>
  <c r="B6" i="3"/>
  <c r="G3" i="3"/>
  <c r="F3" i="3"/>
  <c r="E3" i="3"/>
  <c r="D3" i="3"/>
  <c r="C3" i="3"/>
  <c r="B3" i="3"/>
  <c r="G2" i="3"/>
  <c r="F2" i="3"/>
  <c r="E2" i="3"/>
  <c r="D2" i="3"/>
  <c r="C2" i="3"/>
  <c r="B2" i="3"/>
  <c r="J121" i="2"/>
  <c r="I121" i="2"/>
  <c r="I120" i="2"/>
  <c r="J120" i="2" s="1"/>
  <c r="J119" i="2"/>
  <c r="I119" i="2"/>
  <c r="J118" i="2"/>
  <c r="I118" i="2"/>
  <c r="J117" i="2"/>
  <c r="I117" i="2"/>
  <c r="I116" i="2"/>
  <c r="J116" i="2" s="1"/>
  <c r="J115" i="2"/>
  <c r="I115" i="2"/>
  <c r="J114" i="2"/>
  <c r="I114" i="2"/>
  <c r="J113" i="2"/>
  <c r="I113" i="2"/>
  <c r="I112" i="2"/>
  <c r="J112" i="2" s="1"/>
  <c r="C13" i="6" s="1"/>
  <c r="J111" i="2"/>
  <c r="I111" i="2"/>
  <c r="J110" i="2"/>
  <c r="I110" i="2"/>
  <c r="J109" i="2"/>
  <c r="I109" i="2"/>
  <c r="I108" i="2"/>
  <c r="J108" i="2" s="1"/>
  <c r="J107" i="2"/>
  <c r="I107" i="2"/>
  <c r="J106" i="2"/>
  <c r="I106" i="2"/>
  <c r="J105" i="2"/>
  <c r="I105" i="2"/>
  <c r="I104" i="2"/>
  <c r="J104" i="2" s="1"/>
  <c r="J103" i="2"/>
  <c r="I103" i="2"/>
  <c r="J102" i="2"/>
  <c r="C12" i="6" s="1"/>
  <c r="I102" i="2"/>
  <c r="B12" i="6" s="1"/>
  <c r="J101" i="2"/>
  <c r="I101" i="2"/>
  <c r="I100" i="2"/>
  <c r="J100" i="2" s="1"/>
  <c r="J99" i="2"/>
  <c r="I99" i="2"/>
  <c r="J98" i="2"/>
  <c r="I98" i="2"/>
  <c r="J97" i="2"/>
  <c r="I97" i="2"/>
  <c r="I96" i="2"/>
  <c r="J96" i="2" s="1"/>
  <c r="J95" i="2"/>
  <c r="I95" i="2"/>
  <c r="J94" i="2"/>
  <c r="I94" i="2"/>
  <c r="J93" i="2"/>
  <c r="I93" i="2"/>
  <c r="I92" i="2"/>
  <c r="B11" i="6" s="1"/>
  <c r="J91" i="2"/>
  <c r="I91" i="2"/>
  <c r="J90" i="2"/>
  <c r="I90" i="2"/>
  <c r="J89" i="2"/>
  <c r="I89" i="2"/>
  <c r="I88" i="2"/>
  <c r="J88" i="2" s="1"/>
  <c r="J87" i="2"/>
  <c r="I87" i="2"/>
  <c r="J86" i="2"/>
  <c r="I86" i="2"/>
  <c r="J85" i="2"/>
  <c r="I85" i="2"/>
  <c r="I84" i="2"/>
  <c r="J84" i="2" s="1"/>
  <c r="J83" i="2"/>
  <c r="I83" i="2"/>
  <c r="J82" i="2"/>
  <c r="C10" i="6" s="1"/>
  <c r="I82" i="2"/>
  <c r="B10" i="6" s="1"/>
  <c r="J81" i="2"/>
  <c r="I81" i="2"/>
  <c r="I80" i="2"/>
  <c r="J80" i="2" s="1"/>
  <c r="J79" i="2"/>
  <c r="I79" i="2"/>
  <c r="J78" i="2"/>
  <c r="I78" i="2"/>
  <c r="J77" i="2"/>
  <c r="I77" i="2"/>
  <c r="I76" i="2"/>
  <c r="J76" i="2" s="1"/>
  <c r="J75" i="2"/>
  <c r="I75" i="2"/>
  <c r="J74" i="2"/>
  <c r="I74" i="2"/>
  <c r="J73" i="2"/>
  <c r="I73" i="2"/>
  <c r="I72" i="2"/>
  <c r="B9" i="6" s="1"/>
  <c r="J71" i="2"/>
  <c r="I71" i="2"/>
  <c r="J70" i="2"/>
  <c r="I70" i="2"/>
  <c r="J69" i="2"/>
  <c r="I69" i="2"/>
  <c r="I68" i="2"/>
  <c r="J68" i="2" s="1"/>
  <c r="J67" i="2"/>
  <c r="I67" i="2"/>
  <c r="J66" i="2"/>
  <c r="I66" i="2"/>
  <c r="J65" i="2"/>
  <c r="I65" i="2"/>
  <c r="I64" i="2"/>
  <c r="B8" i="6" s="1"/>
  <c r="J63" i="2"/>
  <c r="I63" i="2"/>
  <c r="J62" i="2"/>
  <c r="I62" i="2"/>
  <c r="J61" i="2"/>
  <c r="I61" i="2"/>
  <c r="I60" i="2"/>
  <c r="J60" i="2" s="1"/>
  <c r="J59" i="2"/>
  <c r="I59" i="2"/>
  <c r="J58" i="2"/>
  <c r="I58" i="2"/>
  <c r="J57" i="2"/>
  <c r="I57" i="2"/>
  <c r="I56" i="2"/>
  <c r="J56" i="2" s="1"/>
  <c r="J55" i="2"/>
  <c r="I55" i="2"/>
  <c r="J54" i="2"/>
  <c r="I54" i="2"/>
  <c r="J53" i="2"/>
  <c r="I53" i="2"/>
  <c r="I52" i="2"/>
  <c r="J52" i="2" s="1"/>
  <c r="C7" i="6" s="1"/>
  <c r="J51" i="2"/>
  <c r="I51" i="2"/>
  <c r="J50" i="2"/>
  <c r="I50" i="2"/>
  <c r="J49" i="2"/>
  <c r="I49" i="2"/>
  <c r="I48" i="2"/>
  <c r="J48" i="2" s="1"/>
  <c r="J47" i="2"/>
  <c r="I47" i="2"/>
  <c r="J46" i="2"/>
  <c r="I46" i="2"/>
  <c r="J45" i="2"/>
  <c r="I45" i="2"/>
  <c r="I44" i="2"/>
  <c r="J44" i="2" s="1"/>
  <c r="J43" i="2"/>
  <c r="I43" i="2"/>
  <c r="J42" i="2"/>
  <c r="C6" i="6" s="1"/>
  <c r="I42" i="2"/>
  <c r="B6" i="6" s="1"/>
  <c r="J41" i="2"/>
  <c r="I41" i="2"/>
  <c r="I40" i="2"/>
  <c r="C4" i="8" s="1"/>
  <c r="J39" i="2"/>
  <c r="I39" i="2"/>
  <c r="J38" i="2"/>
  <c r="I38" i="2"/>
  <c r="J37" i="2"/>
  <c r="I37" i="2"/>
  <c r="I36" i="2"/>
  <c r="J36" i="2" s="1"/>
  <c r="J35" i="2"/>
  <c r="I35" i="2"/>
  <c r="J34" i="2"/>
  <c r="I34" i="2"/>
  <c r="J33" i="2"/>
  <c r="I33" i="2"/>
  <c r="I32" i="2"/>
  <c r="J32" i="2" s="1"/>
  <c r="J31" i="2"/>
  <c r="I31" i="2"/>
  <c r="J30" i="2"/>
  <c r="I30" i="2"/>
  <c r="J29" i="2"/>
  <c r="I29" i="2"/>
  <c r="I28" i="2"/>
  <c r="J28" i="2" s="1"/>
  <c r="J27" i="2"/>
  <c r="I27" i="2"/>
  <c r="J26" i="2"/>
  <c r="I26" i="2"/>
  <c r="J25" i="2"/>
  <c r="I25" i="2"/>
  <c r="I24" i="2"/>
  <c r="J24" i="2" s="1"/>
  <c r="J23" i="2"/>
  <c r="I23" i="2"/>
  <c r="J22" i="2"/>
  <c r="I22" i="2"/>
  <c r="B4" i="6" s="1"/>
  <c r="J21" i="2"/>
  <c r="I21" i="2"/>
  <c r="I20" i="2"/>
  <c r="J20" i="2" s="1"/>
  <c r="J19" i="2"/>
  <c r="I19" i="2"/>
  <c r="J18" i="2"/>
  <c r="I18" i="2"/>
  <c r="J17" i="2"/>
  <c r="I17" i="2"/>
  <c r="I16" i="2"/>
  <c r="J16" i="2" s="1"/>
  <c r="J15" i="2"/>
  <c r="I15" i="2"/>
  <c r="J14" i="2"/>
  <c r="D6" i="8" s="1"/>
  <c r="I14" i="2"/>
  <c r="C6" i="8" s="1"/>
  <c r="J13" i="2"/>
  <c r="I13" i="2"/>
  <c r="B3" i="6" s="1"/>
  <c r="I12" i="2"/>
  <c r="J12" i="2" s="1"/>
  <c r="J11" i="2"/>
  <c r="I11" i="2"/>
  <c r="J10" i="2"/>
  <c r="I10" i="2"/>
  <c r="C2" i="8" s="1"/>
  <c r="J9" i="2"/>
  <c r="I9" i="2"/>
  <c r="I8" i="2"/>
  <c r="J8" i="2" s="1"/>
  <c r="J7" i="2"/>
  <c r="I7" i="2"/>
  <c r="C5" i="8" s="1"/>
  <c r="J6" i="2"/>
  <c r="I6" i="2"/>
  <c r="J5" i="2"/>
  <c r="I5" i="2"/>
  <c r="I4" i="2"/>
  <c r="C3" i="7" s="1"/>
  <c r="J3" i="2"/>
  <c r="I3" i="2"/>
  <c r="C2" i="7" s="1"/>
  <c r="J2" i="2"/>
  <c r="I2" i="2"/>
  <c r="D3" i="9" s="1"/>
  <c r="D5" i="8" l="1"/>
  <c r="D7" i="8"/>
  <c r="C3" i="6"/>
  <c r="C4" i="6"/>
  <c r="E4" i="3"/>
  <c r="F4" i="3"/>
  <c r="G4" i="3"/>
  <c r="E2" i="7"/>
  <c r="C3" i="8"/>
  <c r="D2" i="9"/>
  <c r="B4" i="9"/>
  <c r="C4" i="7"/>
  <c r="B2" i="6"/>
  <c r="D4" i="7"/>
  <c r="C4" i="9"/>
  <c r="B7" i="6"/>
  <c r="B5" i="6"/>
  <c r="B13" i="6"/>
  <c r="E4" i="7"/>
  <c r="D4" i="9"/>
  <c r="J4" i="2"/>
  <c r="E2" i="9" s="1"/>
  <c r="J40" i="2"/>
  <c r="C5" i="6" s="1"/>
  <c r="J64" i="2"/>
  <c r="C8" i="6" s="1"/>
  <c r="J72" i="2"/>
  <c r="C9" i="6" s="1"/>
  <c r="J92" i="2"/>
  <c r="C11" i="6" s="1"/>
  <c r="C4" i="3"/>
  <c r="C7" i="8"/>
  <c r="F4" i="9"/>
  <c r="D6" i="9"/>
  <c r="B4" i="3"/>
  <c r="D4" i="3"/>
  <c r="B2" i="4"/>
  <c r="E3" i="7"/>
  <c r="E6" i="9"/>
  <c r="C2" i="4"/>
  <c r="G5" i="3" l="1"/>
  <c r="D4" i="8"/>
  <c r="D3" i="7"/>
  <c r="D3" i="8"/>
  <c r="C2" i="6"/>
  <c r="B5" i="3"/>
  <c r="D5" i="9"/>
  <c r="F2" i="4"/>
  <c r="G2" i="4" s="1"/>
  <c r="D2" i="4"/>
  <c r="E2" i="4"/>
  <c r="C3" i="4"/>
  <c r="E4" i="9"/>
  <c r="C5" i="3"/>
  <c r="D2" i="7"/>
  <c r="C5" i="9"/>
  <c r="B5" i="9"/>
  <c r="F5" i="3"/>
  <c r="E5" i="3"/>
  <c r="B3" i="4"/>
  <c r="E5" i="9"/>
  <c r="E3" i="9"/>
  <c r="D5" i="3"/>
  <c r="F5" i="9"/>
  <c r="D2" i="8"/>
  <c r="D3" i="4" l="1"/>
  <c r="F3" i="4"/>
  <c r="E3" i="4"/>
  <c r="G3" i="4" l="1"/>
</calcChain>
</file>

<file path=xl/sharedStrings.xml><?xml version="1.0" encoding="utf-8"?>
<sst xmlns="http://schemas.openxmlformats.org/spreadsheetml/2006/main" count="637" uniqueCount="236">
  <si>
    <t>DecodeLabs – Project 2: Exploratory Data Analysis (EDA)</t>
  </si>
  <si>
    <t>Project Goal</t>
  </si>
  <si>
    <t>Analyze a sales dataset to understand patterns, trends, distributions, outliers and relationships.</t>
  </si>
  <si>
    <t>Dataset</t>
  </si>
  <si>
    <t>120 synthetic retail orders across 6 Indian cities, 3 categories and 12 months. Unit_Price is included so Sales can be independently calculated.</t>
  </si>
  <si>
    <t>Basic Statistics</t>
  </si>
  <si>
    <t>Count, Mean, Median, Minimum, Maximum and Standard Deviation are provided in the Basic Statistics sheet.</t>
  </si>
  <si>
    <t>Outlier Method</t>
  </si>
  <si>
    <t>Sales = Unit_Price × Quantity × (1 − Discount%/100). Profit = Sales × Profit_Margin.</t>
  </si>
  <si>
    <t>Trend Analysis</t>
  </si>
  <si>
    <t>Monthly, category-wise and city-wise sales/profit summaries are included with charts.</t>
  </si>
  <si>
    <t>Correlation</t>
  </si>
  <si>
    <t>Pearson correlation is calculated for numeric variables.</t>
  </si>
  <si>
    <t>Key Insights</t>
  </si>
  <si>
    <t>Main observations and actionable recommendations are summarized in Insights &amp; Recommendations.</t>
  </si>
  <si>
    <t>Important Note</t>
  </si>
  <si>
    <t>Potential outliers are flagged for investigation; they are not automatically deleted.</t>
  </si>
  <si>
    <t>Project Alignment</t>
  </si>
  <si>
    <t>The workbook covers the PDF's mandatory EDA requirements: basic statistics, trends/outliers, and key observations.</t>
  </si>
  <si>
    <t>Formula note:</t>
  </si>
  <si>
    <t>Calculated sheets use Excel formulas so selecting a result cell shows the formula in the formula bar.</t>
  </si>
  <si>
    <t>Order_ID</t>
  </si>
  <si>
    <t>Order_Date</t>
  </si>
  <si>
    <t>City</t>
  </si>
  <si>
    <t>Category</t>
  </si>
  <si>
    <t>Product</t>
  </si>
  <si>
    <t>Unit_Price</t>
  </si>
  <si>
    <t>Quantity</t>
  </si>
  <si>
    <t>Discount_%</t>
  </si>
  <si>
    <t>Sales</t>
  </si>
  <si>
    <t>Profit</t>
  </si>
  <si>
    <t>Profit_Margin</t>
  </si>
  <si>
    <t>Customer_Rating</t>
  </si>
  <si>
    <t>ORD-1001</t>
  </si>
  <si>
    <t>Delhi</t>
  </si>
  <si>
    <t>Office Supplies</t>
  </si>
  <si>
    <t>Pen Set</t>
  </si>
  <si>
    <t>ORD-1002</t>
  </si>
  <si>
    <t>Surat</t>
  </si>
  <si>
    <t>Electronics</t>
  </si>
  <si>
    <t>Speaker</t>
  </si>
  <si>
    <t>ORD-1003</t>
  </si>
  <si>
    <t>Bengaluru</t>
  </si>
  <si>
    <t>Furniture</t>
  </si>
  <si>
    <t>Chair</t>
  </si>
  <si>
    <t>ORD-1004</t>
  </si>
  <si>
    <t>Desk</t>
  </si>
  <si>
    <t>ORD-1005</t>
  </si>
  <si>
    <t>Bookshelf</t>
  </si>
  <si>
    <t>ORD-1006</t>
  </si>
  <si>
    <t>Mumbai</t>
  </si>
  <si>
    <t>ORD-1007</t>
  </si>
  <si>
    <t>Headphones</t>
  </si>
  <si>
    <t>ORD-1008</t>
  </si>
  <si>
    <t>Notebook</t>
  </si>
  <si>
    <t>ORD-1009</t>
  </si>
  <si>
    <t>Ahmedabad</t>
  </si>
  <si>
    <t>ORD-1010</t>
  </si>
  <si>
    <t>Mouse</t>
  </si>
  <si>
    <t>ORD-1011</t>
  </si>
  <si>
    <t>ORD-1012</t>
  </si>
  <si>
    <t>Table Lamp</t>
  </si>
  <si>
    <t>ORD-1013</t>
  </si>
  <si>
    <t>Pune</t>
  </si>
  <si>
    <t>Keyboard</t>
  </si>
  <si>
    <t>ORD-1014</t>
  </si>
  <si>
    <t>ORD-1015</t>
  </si>
  <si>
    <t>ORD-1016</t>
  </si>
  <si>
    <t>ORD-1017</t>
  </si>
  <si>
    <t>ORD-1018</t>
  </si>
  <si>
    <t>ORD-1019</t>
  </si>
  <si>
    <t>File Folder</t>
  </si>
  <si>
    <t>ORD-1020</t>
  </si>
  <si>
    <t>ORD-1021</t>
  </si>
  <si>
    <t>ORD-1022</t>
  </si>
  <si>
    <t>Printer Paper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</si>
  <si>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</si>
  <si>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</si>
  <si>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</si>
  <si>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</si>
  <si>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</si>
  <si>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</si>
  <si>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</si>
  <si>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</si>
  <si>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</si>
  <si>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</si>
  <si>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</si>
  <si>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</si>
  <si>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</si>
  <si>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</si>
  <si>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</si>
  <si>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</si>
  <si>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</si>
  <si>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</si>
  <si>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</si>
  <si>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</si>
  <si>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</si>
  <si>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</si>
  <si>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</si>
  <si>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</si>
  <si>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</si>
  <si>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</si>
  <si>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</si>
  <si>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</si>
  <si>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</si>
  <si>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</si>
  <si>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</si>
  <si>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</si>
  <si>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</si>
  <si>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</si>
  <si>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</si>
  <si>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</si>
  <si>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</si>
  <si>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</si>
  <si>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</si>
  <si>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</si>
  <si>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</si>
  <si>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</si>
  <si>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</si>
  <si>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</si>
  <si>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</si>
  <si>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</si>
  <si>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</si>
  <si>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</si>
  <si>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</si>
  <si>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</si>
  <si>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</si>
  <si>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</si>
  <si>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</si>
  <si>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</si>
  <si>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</si>
  <si>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</si>
  <si>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</si>
  <si>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</si>
  <si>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</si>
  <si>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</si>
  <si>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</si>
  <si>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</si>
  <si>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</si>
  <si>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</si>
  <si>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</si>
  <si>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</si>
  <si>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</si>
  <si>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</si>
  <si>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</si>
  <si>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</si>
  <si>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</si>
  <si>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</si>
  <si>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</si>
  <si>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</si>
  <si>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</si>
  <si>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</si>
  <si>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</si>
  <si>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</si>
  <si>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</si>
  <si>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</si>
  <si>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</si>
  <si>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</si>
  <si>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</si>
  <si>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</si>
  <si>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</si>
  <si>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</si>
  <si>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</si>
  <si>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</si>
  <si>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</si>
  <si>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</si>
  <si>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</si>
  <si>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</si>
  <si>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</si>
  <si>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</si>
  <si>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</si>
  <si>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</si>
  <si>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</si>
  <si>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</si>
  <si>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Calculation logic:</t>
  </si>
  <si>
    <t>Sales = Unit_Price × Quantity × (1 − Discount%/100); Profit = Sales × Profit_Margin</t>
  </si>
  <si>
    <t>Metric</t>
  </si>
  <si>
    <t>Count</t>
  </si>
  <si>
    <t>Mean</t>
  </si>
  <si>
    <t>Median</t>
  </si>
  <si>
    <t>Minimum</t>
  </si>
  <si>
    <t>Maximum</t>
  </si>
  <si>
    <t>Std_Dev</t>
  </si>
  <si>
    <t>Variable</t>
  </si>
  <si>
    <t>Q1</t>
  </si>
  <si>
    <t>Q3</t>
  </si>
  <si>
    <t>IQR</t>
  </si>
  <si>
    <t>Lower_Bound</t>
  </si>
  <si>
    <t>Upper_Bound</t>
  </si>
  <si>
    <t>Outlier_Count</t>
  </si>
  <si>
    <t>Value</t>
  </si>
  <si>
    <t>Reason</t>
  </si>
  <si>
    <t>Above upper limit</t>
  </si>
  <si>
    <t>Month</t>
  </si>
  <si>
    <t>Total_Sales</t>
  </si>
  <si>
    <t>Total_Profit</t>
  </si>
  <si>
    <t>Orders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</si>
  <si>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</si>
  <si>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</si>
  <si>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</si>
  <si>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</si>
  <si>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</si>
  <si>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</si>
  <si>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</si>
  <si>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</si>
  <si>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</si>
  <si>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</si>
  <si>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</si>
  <si>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</si>
  <si>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Avg_Sales</t>
  </si>
  <si>
    <t>Avg_Rating</t>
  </si>
  <si>
    <t>DECODELABS – DATA ANALYTICS</t>
  </si>
  <si>
    <t>PROJECT 2: EXPLORATORY DATA ANALYSIS (EDA)</t>
  </si>
  <si>
    <t>INSIGHTS &amp; RECOMMENDATIONS</t>
  </si>
  <si>
    <t>No.</t>
  </si>
  <si>
    <t>Key Observation</t>
  </si>
  <si>
    <t>1</t>
  </si>
  <si>
    <t>Electronics generates the highest total sales among the three categories.</t>
  </si>
  <si>
    <t>2</t>
  </si>
  <si>
    <t>Surat records the highest total sales among the six cities in this dataset.</t>
  </si>
  <si>
    <t>3</t>
  </si>
  <si>
    <t>Sep is the strongest month by total sales.</t>
  </si>
  <si>
    <t>4</t>
  </si>
  <si>
    <t>Average order sales are ₹14,574.49, while median order sales are ₹9,610.15; the difference suggests that a few high-value orders influence the average.</t>
  </si>
  <si>
    <t>5</t>
  </si>
  <si>
    <t>IQR analysis identifies 7 potential outlier observations across Sales and Profit. These should be investigated rather than automatically removed.</t>
  </si>
  <si>
    <t>6</t>
  </si>
  <si>
    <t>Sales and Profit show a strong positive relationship because profitable orders generally increase as sales increase.</t>
  </si>
  <si>
    <t>7</t>
  </si>
  <si>
    <t>Discount percentage should be monitored because larger discounts can affect the relationship between sales volume and profit.</t>
  </si>
  <si>
    <t>Recommendation</t>
  </si>
  <si>
    <t>Prioritize the strongest-performing category (Electronics) while investigating why other categories contribute less revenue.</t>
  </si>
  <si>
    <t>Study the sales drivers in Surat and consider whether successful practices can be applied to other cities.</t>
  </si>
  <si>
    <t>Review the factors behind the Sep sales peak and test whether similar campaigns or demand patterns can be repeated.</t>
  </si>
  <si>
    <t>Investigate high-value outliers individually to distinguish genuine large orders from data-entry issues.</t>
  </si>
  <si>
    <t>Track discount levels alongside profit, not sales alone, before deciding on future promotions.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</si>
</sst>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"/>
    <numFmt numFmtId="165" formatCode="\₹#,##0.00"/>
    <numFmt numFmtId="166" formatCode="0\%"/>
    <numFmt numFmtId="167" formatCode="0.0%"/>
    <numFmt numFmtId="168" formatCode="0.0"/>
  </numFmts>
  <fonts count="7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b/>
      <sz val="11"/>
      <color rgb="FFFFFFFF"/>
      <name val="Cambria"/>
      <charset val="1"/>
    </font>
    <font>
      <b/>
      <sz val="14"/>
      <name val="Calibri"/>
    </font>
    <font>
      <b/>
      <sz val="12"/>
      <name val="Calibri"/>
    </font>
    <font>
      <sz val="11"/>
      <color theme="0"/>
      <name val="Calibri"/>
      <family val="2"/>
      <charset val="1"/>
    </font>
    <font>
      <b/>
      <sz val="16"/>
      <color rgb="FFFFFFFF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9D9D9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0" xfId="0" applyFont="1" applyFill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/>
    <xf numFmtId="166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167" fontId="0" fillId="0" borderId="0" xfId="0" applyNumberFormat="1"/>
    <xf numFmtId="168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0" fontId="1" fillId="0" borderId="2" xfId="0" applyFont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5" fillId="4" borderId="0" xfId="0" applyFont="1" applyFill="1"/>
    <xf numFmtId="0" fontId="6" fillId="2" borderId="0" xfId="0" applyFont="1" applyFill="1"/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Trend'!$B$1</c:f>
              <c:strCache>
                <c:ptCount val="1"/>
                <c:pt idx="0">
                  <c:v>Total_Sales</c:v>
                </c:pt>
              </c:strCache>
            </c:strRef>
          </c:tx>
          <c:spPr>
            <a:ln w="284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'Monthly Trend'!$A$2:$A$13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Trend'!$B$2:$B$13</c:f>
              <c:numCache>
                <c:formatCode>\₹#,##0.00</c:formatCode>
                <c:ptCount val="12"/>
                <c:pt idx="0">
                  <c:v>212352.49999999997</c:v>
                </c:pt>
                <c:pt idx="1">
                  <c:v>183886.07999999999</c:v>
                </c:pt>
                <c:pt idx="2">
                  <c:v>119496.32000000001</c:v>
                </c:pt>
                <c:pt idx="3">
                  <c:v>141916.69</c:v>
                </c:pt>
                <c:pt idx="4">
                  <c:v>128906.95000000001</c:v>
                </c:pt>
                <c:pt idx="5">
                  <c:v>63254.789999999994</c:v>
                </c:pt>
                <c:pt idx="6">
                  <c:v>163225.22999999998</c:v>
                </c:pt>
                <c:pt idx="7">
                  <c:v>140530.09</c:v>
                </c:pt>
                <c:pt idx="8">
                  <c:v>237836.90999999997</c:v>
                </c:pt>
                <c:pt idx="9">
                  <c:v>112471.84</c:v>
                </c:pt>
                <c:pt idx="10">
                  <c:v>146972.29</c:v>
                </c:pt>
                <c:pt idx="11">
                  <c:v>98089.330000000016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008-4F43-BE99-A5E397F3C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3125569"/>
        <c:axId val="31746552"/>
      </c:lineChart>
      <c:catAx>
        <c:axId val="731255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1746552"/>
        <c:crosses val="autoZero"/>
        <c:auto val="1"/>
        <c:lblAlgn val="ctr"/>
        <c:lblOffset val="100"/>
        <c:noMultiLvlLbl val="0"/>
      </c:catAx>
      <c:valAx>
        <c:axId val="317465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Total Sales (₹)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₹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3125569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Analysis'!$C$1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'Category Analysis'!$A$2:$A$4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'Category Analysis'!$C$2:$C$4</c:f>
              <c:numCache>
                <c:formatCode>\₹#,##0.00</c:formatCode>
                <c:ptCount val="3"/>
                <c:pt idx="0">
                  <c:v>942702.75999999978</c:v>
                </c:pt>
                <c:pt idx="1">
                  <c:v>610851.7699999999</c:v>
                </c:pt>
                <c:pt idx="2">
                  <c:v>195384.48999999996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73-4610-9E2F-CD2277BCF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205175"/>
        <c:axId val="67237794"/>
      </c:barChart>
      <c:catAx>
        <c:axId val="942051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7237794"/>
        <c:crosses val="autoZero"/>
        <c:auto val="1"/>
        <c:lblAlgn val="ctr"/>
        <c:lblOffset val="100"/>
        <c:noMultiLvlLbl val="0"/>
      </c:catAx>
      <c:valAx>
        <c:axId val="672377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Total Sales (₹)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₹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420517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Sales by City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Analysis'!$C$1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'City Analysis'!$A$2:$A$7</c:f>
              <c:strCache>
                <c:ptCount val="6"/>
                <c:pt idx="0">
                  <c:v>Ahmedabad</c:v>
                </c:pt>
                <c:pt idx="1">
                  <c:v>Bengaluru</c:v>
                </c:pt>
                <c:pt idx="2">
                  <c:v>Delhi</c:v>
                </c:pt>
                <c:pt idx="3">
                  <c:v>Mumbai</c:v>
                </c:pt>
                <c:pt idx="4">
                  <c:v>Pune</c:v>
                </c:pt>
                <c:pt idx="5">
                  <c:v>Surat</c:v>
                </c:pt>
              </c:strCache>
            </c:strRef>
          </c:cat>
          <c:val>
            <c:numRef>
              <c:f>'City Analysis'!$C$2:$C$7</c:f>
              <c:numCache>
                <c:formatCode>\₹#,##0.00</c:formatCode>
                <c:ptCount val="6"/>
                <c:pt idx="0">
                  <c:v>235096.31000000006</c:v>
                </c:pt>
                <c:pt idx="1">
                  <c:v>313241.26000000007</c:v>
                </c:pt>
                <c:pt idx="2">
                  <c:v>284562.78999999998</c:v>
                </c:pt>
                <c:pt idx="3">
                  <c:v>316833.63000000006</c:v>
                </c:pt>
                <c:pt idx="4">
                  <c:v>261956.77999999994</c:v>
                </c:pt>
                <c:pt idx="5">
                  <c:v>337248.25000000006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3-40F8-B68C-54BABC6EB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956151"/>
        <c:axId val="23013241"/>
      </c:barChart>
      <c:catAx>
        <c:axId val="959561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3013241"/>
        <c:crosses val="autoZero"/>
        <c:auto val="1"/>
        <c:lblAlgn val="ctr"/>
        <c:lblOffset val="100"/>
        <c:noMultiLvlLbl val="0"/>
      </c:catAx>
      <c:valAx>
        <c:axId val="230132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Total Sales (₹)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₹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595615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14</xdr:col>
      <xdr:colOff>255600</xdr:colOff>
      <xdr:row>16</xdr:row>
      <xdr:rowOff>21600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15</xdr:col>
      <xdr:colOff>255600</xdr:colOff>
      <xdr:row>16</xdr:row>
      <xdr:rowOff>21600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14</xdr:col>
      <xdr:colOff>255600</xdr:colOff>
      <xdr:row>16</xdr:row>
      <xdr:rowOff>21600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zoomScaleNormal="100" workbookViewId="0">
      <selection activeCell="B14" sqref="B14"/>
    </sheetView>
  </sheetViews>
  <sheetFormatPr defaultColWidth="8.6328125" defaultRowHeight="15" customHeight="1" x14ac:dyDescent="0.35"/>
  <cols>
    <col min="1" max="1" width="24" customWidth="1"/>
    <col min="2" max="2" width="100" customWidth="1"/>
  </cols>
  <sheetData>
    <row r="1" spans="1:2" ht="19.5" customHeight="1" x14ac:dyDescent="0.4">
      <c r="A1" s="15" t="s">
        <v>0</v>
      </c>
      <c r="B1" s="16"/>
    </row>
    <row r="3" spans="1:2" ht="15" customHeight="1" x14ac:dyDescent="0.35">
      <c r="A3" s="1" t="s">
        <v>1</v>
      </c>
      <c r="B3" s="2" t="s">
        <v>2</v>
      </c>
    </row>
    <row r="4" spans="1:2" ht="27.75" customHeight="1" x14ac:dyDescent="0.35">
      <c r="A4" s="1" t="s">
        <v>3</v>
      </c>
      <c r="B4" s="2" t="s">
        <v>4</v>
      </c>
    </row>
    <row r="5" spans="1:2" ht="15" customHeight="1" x14ac:dyDescent="0.35">
      <c r="A5" s="1" t="s">
        <v>5</v>
      </c>
      <c r="B5" s="2" t="s">
        <v>6</v>
      </c>
    </row>
    <row r="6" spans="1:2" ht="15" customHeight="1" x14ac:dyDescent="0.35">
      <c r="A6" s="1" t="s">
        <v>7</v>
      </c>
      <c r="B6" s="2" t="s">
        <v>8</v>
      </c>
    </row>
    <row r="7" spans="1:2" ht="15" customHeight="1" x14ac:dyDescent="0.35">
      <c r="A7" s="1" t="s">
        <v>9</v>
      </c>
      <c r="B7" s="2" t="s">
        <v>10</v>
      </c>
    </row>
    <row r="8" spans="1:2" ht="15" customHeight="1" x14ac:dyDescent="0.35">
      <c r="A8" s="1" t="s">
        <v>11</v>
      </c>
      <c r="B8" s="2" t="s">
        <v>12</v>
      </c>
    </row>
    <row r="9" spans="1:2" ht="15" customHeight="1" x14ac:dyDescent="0.35">
      <c r="A9" s="1" t="s">
        <v>13</v>
      </c>
      <c r="B9" s="2" t="s">
        <v>14</v>
      </c>
    </row>
    <row r="10" spans="1:2" ht="15" customHeight="1" x14ac:dyDescent="0.35">
      <c r="A10" s="1" t="s">
        <v>15</v>
      </c>
      <c r="B10" s="2" t="s">
        <v>16</v>
      </c>
    </row>
    <row r="11" spans="1:2" ht="15" customHeight="1" x14ac:dyDescent="0.35">
      <c r="A11" s="1" t="s">
        <v>17</v>
      </c>
      <c r="B11" s="2" t="s">
        <v>18</v>
      </c>
    </row>
    <row r="13" spans="1:2" ht="15" customHeight="1" x14ac:dyDescent="0.35">
      <c r="A13" t="s">
        <v>19</v>
      </c>
      <c r="B13" t="s">
        <v>20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3"/>
  <sheetViews>
    <sheetView zoomScale="98" zoomScaleNormal="98" workbookViewId="0">
      <pane ySplit="1" topLeftCell="A69" activePane="bottomLeft" state="frozen"/>
      <selection pane="bottomLeft" activeCell="H82" sqref="H82"/>
    </sheetView>
  </sheetViews>
  <sheetFormatPr defaultColWidth="8.6328125" defaultRowHeight="15" customHeight="1" x14ac:dyDescent="0.35"/>
  <cols>
    <col min="1" max="1" width="12" customWidth="1"/>
    <col min="2" max="2" width="28" customWidth="1"/>
    <col min="3" max="3" width="12" customWidth="1"/>
    <col min="4" max="4" width="17" customWidth="1"/>
    <col min="5" max="5" width="15" customWidth="1"/>
    <col min="6" max="9" width="12" customWidth="1"/>
    <col min="10" max="10" width="17" customWidth="1"/>
    <col min="11" max="11" width="12.90625" customWidth="1"/>
  </cols>
  <sheetData>
    <row r="1" spans="1:12" ht="15" customHeight="1" x14ac:dyDescent="0.3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14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14" t="s">
        <v>31</v>
      </c>
      <c r="L1" s="3" t="s">
        <v>32</v>
      </c>
    </row>
    <row r="2" spans="1:12" ht="15" customHeight="1" x14ac:dyDescent="0.35">
      <c r="A2" s="4" t="s">
        <v>33</v>
      </c>
      <c r="B2" s="5">
        <v>45658</v>
      </c>
      <c r="C2" s="4" t="s">
        <v>34</v>
      </c>
      <c r="D2" s="4" t="s">
        <v>35</v>
      </c>
      <c r="E2" s="4" t="s">
        <v>36</v>
      </c>
      <c r="F2" s="6">
        <v>857.92</v>
      </c>
      <c r="G2" s="4">
        <v>7</v>
      </c>
      <c r="H2" s="7">
        <v>0</v>
      </c>
      <c r="I2" s="8">
        <f t="shared" ref="I2:I33" si="0">ROUND(F2*G2*(1-H2/100),2)</f>
        <v>6005.44</v>
      </c>
      <c r="J2" s="8">
        <f t="shared" ref="J2:J33" si="1">ROUND(I2*K2,2)</f>
        <v>1520.58</v>
      </c>
      <c r="K2" s="9">
        <v>0.25319999999999998</v>
      </c>
      <c r="L2" s="10">
        <v>4.9000000000000004</v>
      </c>
    </row>
    <row r="3" spans="1:12" ht="15" customHeight="1" x14ac:dyDescent="0.35">
      <c r="A3" s="4" t="s">
        <v>37</v>
      </c>
      <c r="B3" s="5">
        <v>45661.058823530089</v>
      </c>
      <c r="C3" s="4" t="s">
        <v>38</v>
      </c>
      <c r="D3" s="4" t="s">
        <v>39</v>
      </c>
      <c r="E3" s="4" t="s">
        <v>40</v>
      </c>
      <c r="F3" s="6">
        <v>6793.59</v>
      </c>
      <c r="G3" s="4">
        <v>5</v>
      </c>
      <c r="H3" s="7">
        <v>10</v>
      </c>
      <c r="I3" s="8">
        <f t="shared" si="0"/>
        <v>30571.16</v>
      </c>
      <c r="J3" s="8">
        <f t="shared" si="1"/>
        <v>6184.55</v>
      </c>
      <c r="K3" s="9">
        <v>0.20230000000000001</v>
      </c>
      <c r="L3" s="10">
        <v>4.4000000000000004</v>
      </c>
    </row>
    <row r="4" spans="1:12" ht="15" customHeight="1" x14ac:dyDescent="0.35">
      <c r="A4" s="4" t="s">
        <v>41</v>
      </c>
      <c r="B4" s="5">
        <v>45664.117647060193</v>
      </c>
      <c r="C4" s="4" t="s">
        <v>42</v>
      </c>
      <c r="D4" s="4" t="s">
        <v>43</v>
      </c>
      <c r="E4" s="4" t="s">
        <v>44</v>
      </c>
      <c r="F4" s="6">
        <v>3019.19</v>
      </c>
      <c r="G4" s="4">
        <v>3</v>
      </c>
      <c r="H4" s="7">
        <v>5</v>
      </c>
      <c r="I4" s="8">
        <f t="shared" si="0"/>
        <v>8604.69</v>
      </c>
      <c r="J4" s="8">
        <f t="shared" si="1"/>
        <v>2380.06</v>
      </c>
      <c r="K4" s="9">
        <v>0.27660000000000001</v>
      </c>
      <c r="L4" s="10">
        <v>4.5999999999999996</v>
      </c>
    </row>
    <row r="5" spans="1:12" ht="15" customHeight="1" x14ac:dyDescent="0.35">
      <c r="A5" s="4" t="s">
        <v>45</v>
      </c>
      <c r="B5" s="5">
        <v>45667.176470590282</v>
      </c>
      <c r="C5" s="4" t="s">
        <v>42</v>
      </c>
      <c r="D5" s="4" t="s">
        <v>43</v>
      </c>
      <c r="E5" s="4" t="s">
        <v>46</v>
      </c>
      <c r="F5" s="6">
        <v>6300.67</v>
      </c>
      <c r="G5" s="4">
        <v>9</v>
      </c>
      <c r="H5" s="7">
        <v>0</v>
      </c>
      <c r="I5" s="8">
        <f t="shared" si="0"/>
        <v>56706.03</v>
      </c>
      <c r="J5" s="8">
        <f t="shared" si="1"/>
        <v>7156.3</v>
      </c>
      <c r="K5" s="9">
        <v>0.12620000000000001</v>
      </c>
      <c r="L5" s="10">
        <v>3.9</v>
      </c>
    </row>
    <row r="6" spans="1:12" ht="15" customHeight="1" x14ac:dyDescent="0.35">
      <c r="A6" s="4" t="s">
        <v>47</v>
      </c>
      <c r="B6" s="5">
        <v>45670.235294120372</v>
      </c>
      <c r="C6" s="4" t="s">
        <v>34</v>
      </c>
      <c r="D6" s="4" t="s">
        <v>43</v>
      </c>
      <c r="E6" s="4" t="s">
        <v>48</v>
      </c>
      <c r="F6" s="6">
        <v>5532.53</v>
      </c>
      <c r="G6" s="4">
        <v>1</v>
      </c>
      <c r="H6" s="7">
        <v>5</v>
      </c>
      <c r="I6" s="8">
        <f t="shared" si="0"/>
        <v>5255.9</v>
      </c>
      <c r="J6" s="8">
        <f t="shared" si="1"/>
        <v>1116.8800000000001</v>
      </c>
      <c r="K6" s="9">
        <v>0.21249999999999999</v>
      </c>
      <c r="L6" s="10">
        <v>4.0999999999999996</v>
      </c>
    </row>
    <row r="7" spans="1:12" ht="15" customHeight="1" x14ac:dyDescent="0.35">
      <c r="A7" s="4" t="s">
        <v>49</v>
      </c>
      <c r="B7" s="5">
        <v>45673.294117650461</v>
      </c>
      <c r="C7" s="4" t="s">
        <v>50</v>
      </c>
      <c r="D7" s="4" t="s">
        <v>43</v>
      </c>
      <c r="E7" s="4" t="s">
        <v>44</v>
      </c>
      <c r="F7" s="6">
        <v>5195.7700000000004</v>
      </c>
      <c r="G7" s="4">
        <v>4</v>
      </c>
      <c r="H7" s="7">
        <v>10</v>
      </c>
      <c r="I7" s="8">
        <f t="shared" si="0"/>
        <v>18704.77</v>
      </c>
      <c r="J7" s="8">
        <f t="shared" si="1"/>
        <v>4945.54</v>
      </c>
      <c r="K7" s="9">
        <v>0.26440000000000002</v>
      </c>
      <c r="L7" s="10">
        <v>2.9</v>
      </c>
    </row>
    <row r="8" spans="1:12" ht="15" customHeight="1" x14ac:dyDescent="0.35">
      <c r="A8" s="4" t="s">
        <v>51</v>
      </c>
      <c r="B8" s="5">
        <v>45676.352941180558</v>
      </c>
      <c r="C8" s="4" t="s">
        <v>38</v>
      </c>
      <c r="D8" s="4" t="s">
        <v>39</v>
      </c>
      <c r="E8" s="4" t="s">
        <v>52</v>
      </c>
      <c r="F8" s="6">
        <v>7720.44</v>
      </c>
      <c r="G8" s="4">
        <v>5</v>
      </c>
      <c r="H8" s="7">
        <v>10</v>
      </c>
      <c r="I8" s="8">
        <f t="shared" si="0"/>
        <v>34741.980000000003</v>
      </c>
      <c r="J8" s="8">
        <f t="shared" si="1"/>
        <v>9488.0300000000007</v>
      </c>
      <c r="K8" s="9">
        <v>0.27310000000000001</v>
      </c>
      <c r="L8" s="10">
        <v>3.2</v>
      </c>
    </row>
    <row r="9" spans="1:12" ht="15" customHeight="1" x14ac:dyDescent="0.35">
      <c r="A9" s="4" t="s">
        <v>53</v>
      </c>
      <c r="B9" s="5">
        <v>45679.411764710647</v>
      </c>
      <c r="C9" s="4" t="s">
        <v>42</v>
      </c>
      <c r="D9" s="4" t="s">
        <v>35</v>
      </c>
      <c r="E9" s="4" t="s">
        <v>54</v>
      </c>
      <c r="F9" s="6">
        <v>2699.55</v>
      </c>
      <c r="G9" s="4">
        <v>8</v>
      </c>
      <c r="H9" s="7">
        <v>0</v>
      </c>
      <c r="I9" s="8">
        <f t="shared" si="0"/>
        <v>21596.400000000001</v>
      </c>
      <c r="J9" s="8">
        <f t="shared" si="1"/>
        <v>4800.88</v>
      </c>
      <c r="K9" s="9">
        <v>0.2223</v>
      </c>
      <c r="L9" s="10">
        <v>4.4000000000000004</v>
      </c>
    </row>
    <row r="10" spans="1:12" ht="15" customHeight="1" x14ac:dyDescent="0.35">
      <c r="A10" s="4" t="s">
        <v>55</v>
      </c>
      <c r="B10" s="5">
        <v>45682.470588240743</v>
      </c>
      <c r="C10" s="4" t="s">
        <v>56</v>
      </c>
      <c r="D10" s="4" t="s">
        <v>35</v>
      </c>
      <c r="E10" s="4" t="s">
        <v>36</v>
      </c>
      <c r="F10" s="6">
        <v>709.39</v>
      </c>
      <c r="G10" s="4">
        <v>9</v>
      </c>
      <c r="H10" s="7">
        <v>20</v>
      </c>
      <c r="I10" s="8">
        <f t="shared" si="0"/>
        <v>5107.6099999999997</v>
      </c>
      <c r="J10" s="8">
        <f t="shared" si="1"/>
        <v>1276.9000000000001</v>
      </c>
      <c r="K10" s="9">
        <v>0.25</v>
      </c>
      <c r="L10" s="10">
        <v>3.5</v>
      </c>
    </row>
    <row r="11" spans="1:12" ht="15" customHeight="1" x14ac:dyDescent="0.35">
      <c r="A11" s="4" t="s">
        <v>57</v>
      </c>
      <c r="B11" s="5">
        <v>45685.529411759257</v>
      </c>
      <c r="C11" s="4" t="s">
        <v>38</v>
      </c>
      <c r="D11" s="4" t="s">
        <v>39</v>
      </c>
      <c r="E11" s="4" t="s">
        <v>58</v>
      </c>
      <c r="F11" s="6">
        <v>5057.34</v>
      </c>
      <c r="G11" s="4">
        <v>3</v>
      </c>
      <c r="H11" s="7">
        <v>0</v>
      </c>
      <c r="I11" s="8">
        <f t="shared" si="0"/>
        <v>15172.02</v>
      </c>
      <c r="J11" s="8">
        <f t="shared" si="1"/>
        <v>3377.29</v>
      </c>
      <c r="K11" s="9">
        <v>0.22259999999999999</v>
      </c>
      <c r="L11" s="10">
        <v>3.9</v>
      </c>
    </row>
    <row r="12" spans="1:12" ht="15" customHeight="1" x14ac:dyDescent="0.35">
      <c r="A12" s="4" t="s">
        <v>59</v>
      </c>
      <c r="B12" s="5">
        <v>45688.588235289353</v>
      </c>
      <c r="C12" s="4" t="s">
        <v>56</v>
      </c>
      <c r="D12" s="4" t="s">
        <v>35</v>
      </c>
      <c r="E12" s="4" t="s">
        <v>36</v>
      </c>
      <c r="F12" s="6">
        <v>988.65</v>
      </c>
      <c r="G12" s="4">
        <v>10</v>
      </c>
      <c r="H12" s="7">
        <v>0</v>
      </c>
      <c r="I12" s="8">
        <f t="shared" si="0"/>
        <v>9886.5</v>
      </c>
      <c r="J12" s="8">
        <f t="shared" si="1"/>
        <v>1004.47</v>
      </c>
      <c r="K12" s="9">
        <v>0.1016</v>
      </c>
      <c r="L12" s="10">
        <v>4</v>
      </c>
    </row>
    <row r="13" spans="1:12" ht="15" customHeight="1" x14ac:dyDescent="0.35">
      <c r="A13" s="4" t="s">
        <v>60</v>
      </c>
      <c r="B13" s="5">
        <v>45691.647058819442</v>
      </c>
      <c r="C13" s="4" t="s">
        <v>34</v>
      </c>
      <c r="D13" s="4" t="s">
        <v>43</v>
      </c>
      <c r="E13" s="4" t="s">
        <v>61</v>
      </c>
      <c r="F13" s="6">
        <v>2145.89</v>
      </c>
      <c r="G13" s="4">
        <v>4</v>
      </c>
      <c r="H13" s="7">
        <v>20</v>
      </c>
      <c r="I13" s="8">
        <f t="shared" si="0"/>
        <v>6866.85</v>
      </c>
      <c r="J13" s="8">
        <f t="shared" si="1"/>
        <v>1372</v>
      </c>
      <c r="K13" s="9">
        <v>0.19980000000000001</v>
      </c>
      <c r="L13" s="10">
        <v>3.8</v>
      </c>
    </row>
    <row r="14" spans="1:12" ht="15" customHeight="1" x14ac:dyDescent="0.35">
      <c r="A14" s="4" t="s">
        <v>62</v>
      </c>
      <c r="B14" s="5">
        <v>45694.705882349539</v>
      </c>
      <c r="C14" s="4" t="s">
        <v>63</v>
      </c>
      <c r="D14" s="4" t="s">
        <v>39</v>
      </c>
      <c r="E14" s="4" t="s">
        <v>64</v>
      </c>
      <c r="F14" s="6">
        <v>5295.35</v>
      </c>
      <c r="G14" s="4">
        <v>4</v>
      </c>
      <c r="H14" s="7">
        <v>15</v>
      </c>
      <c r="I14" s="8">
        <f t="shared" si="0"/>
        <v>18004.189999999999</v>
      </c>
      <c r="J14" s="8">
        <f t="shared" si="1"/>
        <v>3382.99</v>
      </c>
      <c r="K14" s="9">
        <v>0.18790000000000001</v>
      </c>
      <c r="L14" s="10">
        <v>3.6</v>
      </c>
    </row>
    <row r="15" spans="1:12" ht="15" customHeight="1" x14ac:dyDescent="0.35">
      <c r="A15" s="4" t="s">
        <v>65</v>
      </c>
      <c r="B15" s="5">
        <v>45697.764705879628</v>
      </c>
      <c r="C15" s="4" t="s">
        <v>56</v>
      </c>
      <c r="D15" s="4" t="s">
        <v>43</v>
      </c>
      <c r="E15" s="4" t="s">
        <v>44</v>
      </c>
      <c r="F15" s="6">
        <v>5692.24</v>
      </c>
      <c r="G15" s="4">
        <v>8</v>
      </c>
      <c r="H15" s="7">
        <v>10</v>
      </c>
      <c r="I15" s="8">
        <f t="shared" si="0"/>
        <v>40984.129999999997</v>
      </c>
      <c r="J15" s="8">
        <f t="shared" si="1"/>
        <v>7254.19</v>
      </c>
      <c r="K15" s="9">
        <v>0.17699999999999999</v>
      </c>
      <c r="L15" s="10">
        <v>3.8</v>
      </c>
    </row>
    <row r="16" spans="1:12" ht="15" customHeight="1" x14ac:dyDescent="0.35">
      <c r="A16" s="4" t="s">
        <v>66</v>
      </c>
      <c r="B16" s="5">
        <v>45700.823529409718</v>
      </c>
      <c r="C16" s="4" t="s">
        <v>56</v>
      </c>
      <c r="D16" s="4" t="s">
        <v>39</v>
      </c>
      <c r="E16" s="4" t="s">
        <v>40</v>
      </c>
      <c r="F16" s="6">
        <v>2557.6999999999998</v>
      </c>
      <c r="G16" s="4">
        <v>8</v>
      </c>
      <c r="H16" s="7">
        <v>15</v>
      </c>
      <c r="I16" s="8">
        <f t="shared" si="0"/>
        <v>17392.36</v>
      </c>
      <c r="J16" s="8">
        <f t="shared" si="1"/>
        <v>2655.81</v>
      </c>
      <c r="K16" s="9">
        <v>0.1527</v>
      </c>
      <c r="L16" s="10">
        <v>4</v>
      </c>
    </row>
    <row r="17" spans="1:12" ht="15" customHeight="1" x14ac:dyDescent="0.35">
      <c r="A17" s="4" t="s">
        <v>67</v>
      </c>
      <c r="B17" s="5">
        <v>45703.882352939807</v>
      </c>
      <c r="C17" s="4" t="s">
        <v>56</v>
      </c>
      <c r="D17" s="4" t="s">
        <v>39</v>
      </c>
      <c r="E17" s="4" t="s">
        <v>40</v>
      </c>
      <c r="F17" s="6">
        <v>1065.5899999999999</v>
      </c>
      <c r="G17" s="4">
        <v>6</v>
      </c>
      <c r="H17" s="7">
        <v>0</v>
      </c>
      <c r="I17" s="8">
        <f t="shared" si="0"/>
        <v>6393.54</v>
      </c>
      <c r="J17" s="8">
        <f t="shared" si="1"/>
        <v>952.64</v>
      </c>
      <c r="K17" s="9">
        <v>0.14899999999999999</v>
      </c>
      <c r="L17" s="10">
        <v>3.1</v>
      </c>
    </row>
    <row r="18" spans="1:12" ht="15" customHeight="1" x14ac:dyDescent="0.35">
      <c r="A18" s="4" t="s">
        <v>68</v>
      </c>
      <c r="B18" s="5">
        <v>45706.941176469911</v>
      </c>
      <c r="C18" s="4" t="s">
        <v>56</v>
      </c>
      <c r="D18" s="4" t="s">
        <v>39</v>
      </c>
      <c r="E18" s="4" t="s">
        <v>64</v>
      </c>
      <c r="F18" s="6">
        <v>4622.7299999999996</v>
      </c>
      <c r="G18" s="4">
        <v>7</v>
      </c>
      <c r="H18" s="7">
        <v>10</v>
      </c>
      <c r="I18" s="8">
        <f t="shared" si="0"/>
        <v>29123.200000000001</v>
      </c>
      <c r="J18" s="8">
        <f t="shared" si="1"/>
        <v>6765.32</v>
      </c>
      <c r="K18" s="9">
        <v>0.23230000000000001</v>
      </c>
      <c r="L18" s="10">
        <v>4.4000000000000004</v>
      </c>
    </row>
    <row r="19" spans="1:12" ht="15" customHeight="1" x14ac:dyDescent="0.35">
      <c r="A19" s="4" t="s">
        <v>69</v>
      </c>
      <c r="B19" s="5">
        <v>45710</v>
      </c>
      <c r="C19" s="4" t="s">
        <v>42</v>
      </c>
      <c r="D19" s="4" t="s">
        <v>43</v>
      </c>
      <c r="E19" s="4" t="s">
        <v>46</v>
      </c>
      <c r="F19" s="6">
        <v>5435.31</v>
      </c>
      <c r="G19" s="4">
        <v>9</v>
      </c>
      <c r="H19" s="7">
        <v>5</v>
      </c>
      <c r="I19" s="8">
        <f t="shared" si="0"/>
        <v>46471.9</v>
      </c>
      <c r="J19" s="8">
        <f t="shared" si="1"/>
        <v>5451.15</v>
      </c>
      <c r="K19" s="9">
        <v>0.1173</v>
      </c>
      <c r="L19" s="10">
        <v>3.5</v>
      </c>
    </row>
    <row r="20" spans="1:12" ht="15" customHeight="1" x14ac:dyDescent="0.35">
      <c r="A20" s="4" t="s">
        <v>70</v>
      </c>
      <c r="B20" s="5">
        <v>45713.058823530089</v>
      </c>
      <c r="C20" s="4" t="s">
        <v>42</v>
      </c>
      <c r="D20" s="4" t="s">
        <v>35</v>
      </c>
      <c r="E20" s="4" t="s">
        <v>71</v>
      </c>
      <c r="F20" s="6">
        <v>970.56</v>
      </c>
      <c r="G20" s="4">
        <v>3</v>
      </c>
      <c r="H20" s="7">
        <v>5</v>
      </c>
      <c r="I20" s="8">
        <f t="shared" si="0"/>
        <v>2766.1</v>
      </c>
      <c r="J20" s="8">
        <f t="shared" si="1"/>
        <v>274.39999999999998</v>
      </c>
      <c r="K20" s="9">
        <v>9.9199999999999997E-2</v>
      </c>
      <c r="L20" s="10">
        <v>3.9</v>
      </c>
    </row>
    <row r="21" spans="1:12" ht="15" customHeight="1" x14ac:dyDescent="0.35">
      <c r="A21" s="4" t="s">
        <v>72</v>
      </c>
      <c r="B21" s="5">
        <v>45716.117647060193</v>
      </c>
      <c r="C21" s="4" t="s">
        <v>50</v>
      </c>
      <c r="D21" s="4" t="s">
        <v>35</v>
      </c>
      <c r="E21" s="4" t="s">
        <v>36</v>
      </c>
      <c r="F21" s="6">
        <v>1671.98</v>
      </c>
      <c r="G21" s="4">
        <v>10</v>
      </c>
      <c r="H21" s="7">
        <v>5</v>
      </c>
      <c r="I21" s="8">
        <f t="shared" si="0"/>
        <v>15883.81</v>
      </c>
      <c r="J21" s="8">
        <f t="shared" si="1"/>
        <v>3367.37</v>
      </c>
      <c r="K21" s="9">
        <v>0.21199999999999999</v>
      </c>
      <c r="L21" s="10">
        <v>4.3</v>
      </c>
    </row>
    <row r="22" spans="1:12" ht="15" customHeight="1" x14ac:dyDescent="0.35">
      <c r="A22" s="4" t="s">
        <v>73</v>
      </c>
      <c r="B22" s="5">
        <v>45719.176470590282</v>
      </c>
      <c r="C22" s="4" t="s">
        <v>50</v>
      </c>
      <c r="D22" s="4" t="s">
        <v>35</v>
      </c>
      <c r="E22" s="4" t="s">
        <v>71</v>
      </c>
      <c r="F22" s="6">
        <v>258.27</v>
      </c>
      <c r="G22" s="4">
        <v>5</v>
      </c>
      <c r="H22" s="7">
        <v>20</v>
      </c>
      <c r="I22" s="8">
        <f t="shared" si="0"/>
        <v>1033.08</v>
      </c>
      <c r="J22" s="8">
        <f t="shared" si="1"/>
        <v>213.43</v>
      </c>
      <c r="K22" s="9">
        <v>0.20660000000000001</v>
      </c>
      <c r="L22" s="10">
        <v>3.3</v>
      </c>
    </row>
    <row r="23" spans="1:12" ht="15" customHeight="1" x14ac:dyDescent="0.35">
      <c r="A23" s="4" t="s">
        <v>74</v>
      </c>
      <c r="B23" s="5">
        <v>45722.235294120372</v>
      </c>
      <c r="C23" s="4" t="s">
        <v>63</v>
      </c>
      <c r="D23" s="4" t="s">
        <v>35</v>
      </c>
      <c r="E23" s="4" t="s">
        <v>75</v>
      </c>
      <c r="F23" s="6">
        <v>243.04</v>
      </c>
      <c r="G23" s="4">
        <v>8</v>
      </c>
      <c r="H23" s="7">
        <v>15</v>
      </c>
      <c r="I23" s="8">
        <f t="shared" si="0"/>
        <v>1652.67</v>
      </c>
      <c r="J23" s="8">
        <f t="shared" si="1"/>
        <v>353.34</v>
      </c>
      <c r="K23" s="9">
        <v>0.21379999999999999</v>
      </c>
      <c r="L23" s="10">
        <v>3.3</v>
      </c>
    </row>
    <row r="24" spans="1:12" ht="15" customHeight="1" x14ac:dyDescent="0.35">
      <c r="A24" s="4" t="s">
        <v>76</v>
      </c>
      <c r="B24" s="5">
        <v>45725.294117650461</v>
      </c>
      <c r="C24" s="4" t="s">
        <v>38</v>
      </c>
      <c r="D24" s="4" t="s">
        <v>39</v>
      </c>
      <c r="E24" s="4" t="s">
        <v>64</v>
      </c>
      <c r="F24" s="6">
        <v>7568.96</v>
      </c>
      <c r="G24" s="4">
        <v>2</v>
      </c>
      <c r="H24" s="7">
        <v>10</v>
      </c>
      <c r="I24" s="8">
        <f t="shared" si="0"/>
        <v>13624.13</v>
      </c>
      <c r="J24" s="8">
        <f t="shared" si="1"/>
        <v>2312.0100000000002</v>
      </c>
      <c r="K24" s="9">
        <v>0.16969999999999999</v>
      </c>
      <c r="L24" s="10">
        <v>4</v>
      </c>
    </row>
    <row r="25" spans="1:12" ht="15" customHeight="1" x14ac:dyDescent="0.35">
      <c r="A25" s="4" t="s">
        <v>77</v>
      </c>
      <c r="B25" s="5">
        <v>45728.352941180558</v>
      </c>
      <c r="C25" s="4" t="s">
        <v>34</v>
      </c>
      <c r="D25" s="4" t="s">
        <v>39</v>
      </c>
      <c r="E25" s="4" t="s">
        <v>40</v>
      </c>
      <c r="F25" s="6">
        <v>6914.41</v>
      </c>
      <c r="G25" s="4">
        <v>3</v>
      </c>
      <c r="H25" s="7">
        <v>10</v>
      </c>
      <c r="I25" s="8">
        <f t="shared" si="0"/>
        <v>18668.91</v>
      </c>
      <c r="J25" s="8">
        <f t="shared" si="1"/>
        <v>2428.83</v>
      </c>
      <c r="K25" s="9">
        <v>0.13009999999999999</v>
      </c>
      <c r="L25" s="10">
        <v>3.8</v>
      </c>
    </row>
    <row r="26" spans="1:12" ht="15" customHeight="1" x14ac:dyDescent="0.35">
      <c r="A26" s="4" t="s">
        <v>78</v>
      </c>
      <c r="B26" s="5">
        <v>45731.411764710647</v>
      </c>
      <c r="C26" s="4" t="s">
        <v>38</v>
      </c>
      <c r="D26" s="4" t="s">
        <v>35</v>
      </c>
      <c r="E26" s="4" t="s">
        <v>54</v>
      </c>
      <c r="F26" s="6">
        <v>838.47</v>
      </c>
      <c r="G26" s="4">
        <v>5</v>
      </c>
      <c r="H26" s="7">
        <v>10</v>
      </c>
      <c r="I26" s="8">
        <f t="shared" si="0"/>
        <v>3773.12</v>
      </c>
      <c r="J26" s="8">
        <f t="shared" si="1"/>
        <v>737.27</v>
      </c>
      <c r="K26" s="9">
        <v>0.19539999999999999</v>
      </c>
      <c r="L26" s="10">
        <v>3.2</v>
      </c>
    </row>
    <row r="27" spans="1:12" ht="15" customHeight="1" x14ac:dyDescent="0.35">
      <c r="A27" s="4" t="s">
        <v>79</v>
      </c>
      <c r="B27" s="5">
        <v>45734.470588240743</v>
      </c>
      <c r="C27" s="4" t="s">
        <v>42</v>
      </c>
      <c r="D27" s="4" t="s">
        <v>43</v>
      </c>
      <c r="E27" s="4" t="s">
        <v>61</v>
      </c>
      <c r="F27" s="6">
        <v>4443.74</v>
      </c>
      <c r="G27" s="4">
        <v>5</v>
      </c>
      <c r="H27" s="7">
        <v>15</v>
      </c>
      <c r="I27" s="8">
        <f t="shared" si="0"/>
        <v>18885.900000000001</v>
      </c>
      <c r="J27" s="8">
        <f t="shared" si="1"/>
        <v>4334.3100000000004</v>
      </c>
      <c r="K27" s="9">
        <v>0.22950000000000001</v>
      </c>
      <c r="L27" s="10">
        <v>4</v>
      </c>
    </row>
    <row r="28" spans="1:12" ht="15" customHeight="1" x14ac:dyDescent="0.35">
      <c r="A28" s="4" t="s">
        <v>80</v>
      </c>
      <c r="B28" s="5">
        <v>45737.529411759257</v>
      </c>
      <c r="C28" s="4" t="s">
        <v>42</v>
      </c>
      <c r="D28" s="4" t="s">
        <v>35</v>
      </c>
      <c r="E28" s="4" t="s">
        <v>54</v>
      </c>
      <c r="F28" s="6">
        <v>1766.56</v>
      </c>
      <c r="G28" s="4">
        <v>4</v>
      </c>
      <c r="H28" s="7">
        <v>5</v>
      </c>
      <c r="I28" s="8">
        <f t="shared" si="0"/>
        <v>6712.93</v>
      </c>
      <c r="J28" s="8">
        <f t="shared" si="1"/>
        <v>1053.93</v>
      </c>
      <c r="K28" s="9">
        <v>0.157</v>
      </c>
      <c r="L28" s="10">
        <v>3.8</v>
      </c>
    </row>
    <row r="29" spans="1:12" ht="15" customHeight="1" x14ac:dyDescent="0.35">
      <c r="A29" s="4" t="s">
        <v>81</v>
      </c>
      <c r="B29" s="5">
        <v>45740.588235289353</v>
      </c>
      <c r="C29" s="4" t="s">
        <v>50</v>
      </c>
      <c r="D29" s="4" t="s">
        <v>43</v>
      </c>
      <c r="E29" s="4" t="s">
        <v>48</v>
      </c>
      <c r="F29" s="6">
        <v>6094.1</v>
      </c>
      <c r="G29" s="4">
        <v>2</v>
      </c>
      <c r="H29" s="7">
        <v>10</v>
      </c>
      <c r="I29" s="8">
        <f t="shared" si="0"/>
        <v>10969.38</v>
      </c>
      <c r="J29" s="8">
        <f t="shared" si="1"/>
        <v>3049.49</v>
      </c>
      <c r="K29" s="9">
        <v>0.27800000000000002</v>
      </c>
      <c r="L29" s="10">
        <v>4.5</v>
      </c>
    </row>
    <row r="30" spans="1:12" ht="15" customHeight="1" x14ac:dyDescent="0.35">
      <c r="A30" s="4" t="s">
        <v>82</v>
      </c>
      <c r="B30" s="5">
        <v>45743.647058819442</v>
      </c>
      <c r="C30" s="4" t="s">
        <v>50</v>
      </c>
      <c r="D30" s="4" t="s">
        <v>39</v>
      </c>
      <c r="E30" s="4" t="s">
        <v>64</v>
      </c>
      <c r="F30" s="6">
        <v>7117.09</v>
      </c>
      <c r="G30" s="4">
        <v>6</v>
      </c>
      <c r="H30" s="7">
        <v>5</v>
      </c>
      <c r="I30" s="8">
        <f t="shared" si="0"/>
        <v>40567.410000000003</v>
      </c>
      <c r="J30" s="8">
        <f t="shared" si="1"/>
        <v>5626.7</v>
      </c>
      <c r="K30" s="9">
        <v>0.13869999999999999</v>
      </c>
      <c r="L30" s="10">
        <v>4.3</v>
      </c>
    </row>
    <row r="31" spans="1:12" ht="15" customHeight="1" x14ac:dyDescent="0.35">
      <c r="A31" s="4" t="s">
        <v>83</v>
      </c>
      <c r="B31" s="5">
        <v>45746.705882349539</v>
      </c>
      <c r="C31" s="4" t="s">
        <v>56</v>
      </c>
      <c r="D31" s="4" t="s">
        <v>43</v>
      </c>
      <c r="E31" s="4" t="s">
        <v>61</v>
      </c>
      <c r="F31" s="6">
        <v>3608.79</v>
      </c>
      <c r="G31" s="4">
        <v>1</v>
      </c>
      <c r="H31" s="7">
        <v>0</v>
      </c>
      <c r="I31" s="8">
        <f t="shared" si="0"/>
        <v>3608.79</v>
      </c>
      <c r="J31" s="8">
        <f t="shared" si="1"/>
        <v>575.24</v>
      </c>
      <c r="K31" s="9">
        <v>0.15939999999999999</v>
      </c>
      <c r="L31" s="10">
        <v>4.3</v>
      </c>
    </row>
    <row r="32" spans="1:12" ht="15" customHeight="1" x14ac:dyDescent="0.35">
      <c r="A32" s="4" t="s">
        <v>84</v>
      </c>
      <c r="B32" s="5">
        <v>45749.764705879628</v>
      </c>
      <c r="C32" s="4" t="s">
        <v>38</v>
      </c>
      <c r="D32" s="4" t="s">
        <v>35</v>
      </c>
      <c r="E32" s="4" t="s">
        <v>36</v>
      </c>
      <c r="F32" s="6">
        <v>845.41</v>
      </c>
      <c r="G32" s="4">
        <v>6</v>
      </c>
      <c r="H32" s="7">
        <v>5</v>
      </c>
      <c r="I32" s="8">
        <f t="shared" si="0"/>
        <v>4818.84</v>
      </c>
      <c r="J32" s="8">
        <f t="shared" si="1"/>
        <v>534.89</v>
      </c>
      <c r="K32" s="9">
        <v>0.111</v>
      </c>
      <c r="L32" s="10">
        <v>3.8</v>
      </c>
    </row>
    <row r="33" spans="1:12" ht="15" customHeight="1" x14ac:dyDescent="0.35">
      <c r="A33" s="4" t="s">
        <v>85</v>
      </c>
      <c r="B33" s="5">
        <v>45752.823529409718</v>
      </c>
      <c r="C33" s="4" t="s">
        <v>50</v>
      </c>
      <c r="D33" s="4" t="s">
        <v>35</v>
      </c>
      <c r="E33" s="4" t="s">
        <v>75</v>
      </c>
      <c r="F33" s="6">
        <v>1507.38</v>
      </c>
      <c r="G33" s="4">
        <v>5</v>
      </c>
      <c r="H33" s="7">
        <v>10</v>
      </c>
      <c r="I33" s="8">
        <f t="shared" si="0"/>
        <v>6783.21</v>
      </c>
      <c r="J33" s="8">
        <f t="shared" si="1"/>
        <v>1684.95</v>
      </c>
      <c r="K33" s="9">
        <v>0.24840000000000001</v>
      </c>
      <c r="L33" s="10">
        <v>4.3</v>
      </c>
    </row>
    <row r="34" spans="1:12" ht="15" customHeight="1" x14ac:dyDescent="0.35">
      <c r="A34" s="4" t="s">
        <v>86</v>
      </c>
      <c r="B34" s="5">
        <v>45755.882352939807</v>
      </c>
      <c r="C34" s="4" t="s">
        <v>34</v>
      </c>
      <c r="D34" s="4" t="s">
        <v>43</v>
      </c>
      <c r="E34" s="4" t="s">
        <v>48</v>
      </c>
      <c r="F34" s="6">
        <v>4911.33</v>
      </c>
      <c r="G34" s="4">
        <v>10</v>
      </c>
      <c r="H34" s="7">
        <v>5</v>
      </c>
      <c r="I34" s="8">
        <f t="shared" ref="I34:I65" si="2">ROUND(F34*G34*(1-H34/100),2)</f>
        <v>46657.64</v>
      </c>
      <c r="J34" s="8">
        <f t="shared" ref="J34:J65" si="3">ROUND(I34*K34,2)</f>
        <v>11151.18</v>
      </c>
      <c r="K34" s="9">
        <v>0.23899999999999999</v>
      </c>
      <c r="L34" s="10">
        <v>3.8</v>
      </c>
    </row>
    <row r="35" spans="1:12" ht="15" customHeight="1" x14ac:dyDescent="0.35">
      <c r="A35" s="4" t="s">
        <v>87</v>
      </c>
      <c r="B35" s="5">
        <v>45758.941176469911</v>
      </c>
      <c r="C35" s="4" t="s">
        <v>50</v>
      </c>
      <c r="D35" s="4" t="s">
        <v>39</v>
      </c>
      <c r="E35" s="4" t="s">
        <v>52</v>
      </c>
      <c r="F35" s="6">
        <v>1382.28</v>
      </c>
      <c r="G35" s="4">
        <v>1</v>
      </c>
      <c r="H35" s="7">
        <v>5</v>
      </c>
      <c r="I35" s="8">
        <f t="shared" si="2"/>
        <v>1313.17</v>
      </c>
      <c r="J35" s="8">
        <f t="shared" si="3"/>
        <v>146.16</v>
      </c>
      <c r="K35" s="9">
        <v>0.1113</v>
      </c>
      <c r="L35" s="10">
        <v>3.1</v>
      </c>
    </row>
    <row r="36" spans="1:12" ht="15" customHeight="1" x14ac:dyDescent="0.35">
      <c r="A36" s="4" t="s">
        <v>88</v>
      </c>
      <c r="B36" s="5">
        <v>45762</v>
      </c>
      <c r="C36" s="4" t="s">
        <v>50</v>
      </c>
      <c r="D36" s="4" t="s">
        <v>39</v>
      </c>
      <c r="E36" s="4" t="s">
        <v>64</v>
      </c>
      <c r="F36" s="6">
        <v>5945.09</v>
      </c>
      <c r="G36" s="4">
        <v>7</v>
      </c>
      <c r="H36" s="7">
        <v>10</v>
      </c>
      <c r="I36" s="8">
        <f t="shared" si="2"/>
        <v>37454.07</v>
      </c>
      <c r="J36" s="8">
        <f t="shared" si="3"/>
        <v>6258.58</v>
      </c>
      <c r="K36" s="9">
        <v>0.1671</v>
      </c>
      <c r="L36" s="10">
        <v>3.3</v>
      </c>
    </row>
    <row r="37" spans="1:12" ht="15" customHeight="1" x14ac:dyDescent="0.35">
      <c r="A37" s="4" t="s">
        <v>89</v>
      </c>
      <c r="B37" s="5">
        <v>45765.058823530089</v>
      </c>
      <c r="C37" s="4" t="s">
        <v>38</v>
      </c>
      <c r="D37" s="4" t="s">
        <v>39</v>
      </c>
      <c r="E37" s="4" t="s">
        <v>64</v>
      </c>
      <c r="F37" s="6">
        <v>1460.95</v>
      </c>
      <c r="G37" s="4">
        <v>4</v>
      </c>
      <c r="H37" s="7">
        <v>5</v>
      </c>
      <c r="I37" s="8">
        <f t="shared" si="2"/>
        <v>5551.61</v>
      </c>
      <c r="J37" s="8">
        <f t="shared" si="3"/>
        <v>463</v>
      </c>
      <c r="K37" s="9">
        <v>8.3400000000000002E-2</v>
      </c>
      <c r="L37" s="10">
        <v>4.0999999999999996</v>
      </c>
    </row>
    <row r="38" spans="1:12" ht="15" customHeight="1" x14ac:dyDescent="0.35">
      <c r="A38" s="4" t="s">
        <v>90</v>
      </c>
      <c r="B38" s="5">
        <v>45768.117647060193</v>
      </c>
      <c r="C38" s="4" t="s">
        <v>50</v>
      </c>
      <c r="D38" s="4" t="s">
        <v>43</v>
      </c>
      <c r="E38" s="4" t="s">
        <v>48</v>
      </c>
      <c r="F38" s="6">
        <v>3395.11</v>
      </c>
      <c r="G38" s="4">
        <v>10</v>
      </c>
      <c r="H38" s="7">
        <v>10</v>
      </c>
      <c r="I38" s="8">
        <f t="shared" si="2"/>
        <v>30555.99</v>
      </c>
      <c r="J38" s="8">
        <f t="shared" si="3"/>
        <v>6325.09</v>
      </c>
      <c r="K38" s="9">
        <v>0.20699999999999999</v>
      </c>
      <c r="L38" s="10">
        <v>3.9</v>
      </c>
    </row>
    <row r="39" spans="1:12" ht="15" customHeight="1" x14ac:dyDescent="0.35">
      <c r="A39" s="4" t="s">
        <v>91</v>
      </c>
      <c r="B39" s="5">
        <v>45771.176470590282</v>
      </c>
      <c r="C39" s="4" t="s">
        <v>50</v>
      </c>
      <c r="D39" s="4" t="s">
        <v>35</v>
      </c>
      <c r="E39" s="4" t="s">
        <v>71</v>
      </c>
      <c r="F39" s="6">
        <v>376.99</v>
      </c>
      <c r="G39" s="4">
        <v>8</v>
      </c>
      <c r="H39" s="7">
        <v>20</v>
      </c>
      <c r="I39" s="8">
        <f t="shared" si="2"/>
        <v>2412.7399999999998</v>
      </c>
      <c r="J39" s="8">
        <f t="shared" si="3"/>
        <v>648.54</v>
      </c>
      <c r="K39" s="9">
        <v>0.26879999999999998</v>
      </c>
      <c r="L39" s="10">
        <v>3.7</v>
      </c>
    </row>
    <row r="40" spans="1:12" ht="15" customHeight="1" x14ac:dyDescent="0.35">
      <c r="A40" s="4" t="s">
        <v>92</v>
      </c>
      <c r="B40" s="5">
        <v>45774.235294120372</v>
      </c>
      <c r="C40" s="4" t="s">
        <v>34</v>
      </c>
      <c r="D40" s="4" t="s">
        <v>43</v>
      </c>
      <c r="E40" s="4" t="s">
        <v>48</v>
      </c>
      <c r="F40" s="6">
        <v>4627.58</v>
      </c>
      <c r="G40" s="4">
        <v>1</v>
      </c>
      <c r="H40" s="7">
        <v>10</v>
      </c>
      <c r="I40" s="8">
        <f t="shared" si="2"/>
        <v>4164.82</v>
      </c>
      <c r="J40" s="8">
        <f t="shared" si="3"/>
        <v>787.57</v>
      </c>
      <c r="K40" s="9">
        <v>0.18909999999999999</v>
      </c>
      <c r="L40" s="10">
        <v>3.9</v>
      </c>
    </row>
    <row r="41" spans="1:12" ht="15" customHeight="1" x14ac:dyDescent="0.35">
      <c r="A41" s="4" t="s">
        <v>93</v>
      </c>
      <c r="B41" s="5">
        <v>45777.294117650461</v>
      </c>
      <c r="C41" s="4" t="s">
        <v>56</v>
      </c>
      <c r="D41" s="4" t="s">
        <v>43</v>
      </c>
      <c r="E41" s="4" t="s">
        <v>48</v>
      </c>
      <c r="F41" s="6">
        <v>1102.3</v>
      </c>
      <c r="G41" s="4">
        <v>2</v>
      </c>
      <c r="H41" s="7">
        <v>0</v>
      </c>
      <c r="I41" s="8">
        <f t="shared" si="2"/>
        <v>2204.6</v>
      </c>
      <c r="J41" s="8">
        <f t="shared" si="3"/>
        <v>449.08</v>
      </c>
      <c r="K41" s="9">
        <v>0.20369999999999999</v>
      </c>
      <c r="L41" s="10">
        <v>4.3</v>
      </c>
    </row>
    <row r="42" spans="1:12" ht="15" customHeight="1" x14ac:dyDescent="0.35">
      <c r="A42" s="4" t="s">
        <v>94</v>
      </c>
      <c r="B42" s="5">
        <v>45780.352941180558</v>
      </c>
      <c r="C42" s="4" t="s">
        <v>56</v>
      </c>
      <c r="D42" s="4" t="s">
        <v>43</v>
      </c>
      <c r="E42" s="4" t="s">
        <v>44</v>
      </c>
      <c r="F42" s="6">
        <v>834.98</v>
      </c>
      <c r="G42" s="4">
        <v>9</v>
      </c>
      <c r="H42" s="7">
        <v>10</v>
      </c>
      <c r="I42" s="8">
        <f t="shared" si="2"/>
        <v>6763.34</v>
      </c>
      <c r="J42" s="8">
        <f t="shared" si="3"/>
        <v>1478.47</v>
      </c>
      <c r="K42" s="9">
        <v>0.21859999999999999</v>
      </c>
      <c r="L42" s="10">
        <v>4.3</v>
      </c>
    </row>
    <row r="43" spans="1:12" ht="15" customHeight="1" x14ac:dyDescent="0.35">
      <c r="A43" s="4" t="s">
        <v>95</v>
      </c>
      <c r="B43" s="5">
        <v>45783.411764710647</v>
      </c>
      <c r="C43" s="4" t="s">
        <v>34</v>
      </c>
      <c r="D43" s="4" t="s">
        <v>43</v>
      </c>
      <c r="E43" s="4" t="s">
        <v>44</v>
      </c>
      <c r="F43" s="6">
        <v>1729.15</v>
      </c>
      <c r="G43" s="4">
        <v>3</v>
      </c>
      <c r="H43" s="7">
        <v>20</v>
      </c>
      <c r="I43" s="8">
        <f t="shared" si="2"/>
        <v>4149.96</v>
      </c>
      <c r="J43" s="8">
        <f t="shared" si="3"/>
        <v>674.37</v>
      </c>
      <c r="K43" s="9">
        <v>0.16250000000000001</v>
      </c>
      <c r="L43" s="10">
        <v>3.9</v>
      </c>
    </row>
    <row r="44" spans="1:12" ht="15" customHeight="1" x14ac:dyDescent="0.35">
      <c r="A44" s="4" t="s">
        <v>96</v>
      </c>
      <c r="B44" s="5">
        <v>45786.470588240743</v>
      </c>
      <c r="C44" s="4" t="s">
        <v>50</v>
      </c>
      <c r="D44" s="4" t="s">
        <v>39</v>
      </c>
      <c r="E44" s="4" t="s">
        <v>40</v>
      </c>
      <c r="F44" s="6">
        <v>3253.79</v>
      </c>
      <c r="G44" s="4">
        <v>1</v>
      </c>
      <c r="H44" s="7">
        <v>10</v>
      </c>
      <c r="I44" s="8">
        <f t="shared" si="2"/>
        <v>2928.41</v>
      </c>
      <c r="J44" s="8">
        <f t="shared" si="3"/>
        <v>667.68</v>
      </c>
      <c r="K44" s="9">
        <v>0.22800000000000001</v>
      </c>
      <c r="L44" s="10">
        <v>3.7</v>
      </c>
    </row>
    <row r="45" spans="1:12" ht="15" customHeight="1" x14ac:dyDescent="0.35">
      <c r="A45" s="4" t="s">
        <v>97</v>
      </c>
      <c r="B45" s="5">
        <v>45789.529411759257</v>
      </c>
      <c r="C45" s="4" t="s">
        <v>56</v>
      </c>
      <c r="D45" s="4" t="s">
        <v>43</v>
      </c>
      <c r="E45" s="4" t="s">
        <v>61</v>
      </c>
      <c r="F45" s="6">
        <v>2426.2800000000002</v>
      </c>
      <c r="G45" s="4">
        <v>4</v>
      </c>
      <c r="H45" s="7">
        <v>0</v>
      </c>
      <c r="I45" s="8">
        <f t="shared" si="2"/>
        <v>9705.1200000000008</v>
      </c>
      <c r="J45" s="8">
        <f t="shared" si="3"/>
        <v>2534.0100000000002</v>
      </c>
      <c r="K45" s="9">
        <v>0.2611</v>
      </c>
      <c r="L45" s="10">
        <v>3.3</v>
      </c>
    </row>
    <row r="46" spans="1:12" ht="15" customHeight="1" x14ac:dyDescent="0.35">
      <c r="A46" s="4" t="s">
        <v>98</v>
      </c>
      <c r="B46" s="5">
        <v>45792.588235289353</v>
      </c>
      <c r="C46" s="4" t="s">
        <v>34</v>
      </c>
      <c r="D46" s="4" t="s">
        <v>39</v>
      </c>
      <c r="E46" s="4" t="s">
        <v>40</v>
      </c>
      <c r="F46" s="6">
        <v>7640.45</v>
      </c>
      <c r="G46" s="4">
        <v>5</v>
      </c>
      <c r="H46" s="7">
        <v>0</v>
      </c>
      <c r="I46" s="8">
        <f t="shared" si="2"/>
        <v>38202.25</v>
      </c>
      <c r="J46" s="8">
        <f t="shared" si="3"/>
        <v>7659.55</v>
      </c>
      <c r="K46" s="9">
        <v>0.20050000000000001</v>
      </c>
      <c r="L46" s="10">
        <v>3.2</v>
      </c>
    </row>
    <row r="47" spans="1:12" ht="15" customHeight="1" x14ac:dyDescent="0.35">
      <c r="A47" s="4" t="s">
        <v>99</v>
      </c>
      <c r="B47" s="5">
        <v>45795.647058819442</v>
      </c>
      <c r="C47" s="4" t="s">
        <v>42</v>
      </c>
      <c r="D47" s="4" t="s">
        <v>35</v>
      </c>
      <c r="E47" s="4" t="s">
        <v>54</v>
      </c>
      <c r="F47" s="6">
        <v>1756.22</v>
      </c>
      <c r="G47" s="4">
        <v>10</v>
      </c>
      <c r="H47" s="7">
        <v>10</v>
      </c>
      <c r="I47" s="8">
        <f t="shared" si="2"/>
        <v>15805.98</v>
      </c>
      <c r="J47" s="8">
        <f t="shared" si="3"/>
        <v>4070.04</v>
      </c>
      <c r="K47" s="9">
        <v>0.25750000000000001</v>
      </c>
      <c r="L47" s="10">
        <v>4.0999999999999996</v>
      </c>
    </row>
    <row r="48" spans="1:12" ht="15" customHeight="1" x14ac:dyDescent="0.35">
      <c r="A48" s="4" t="s">
        <v>100</v>
      </c>
      <c r="B48" s="5">
        <v>45798.705882349539</v>
      </c>
      <c r="C48" s="4" t="s">
        <v>63</v>
      </c>
      <c r="D48" s="4" t="s">
        <v>35</v>
      </c>
      <c r="E48" s="4" t="s">
        <v>36</v>
      </c>
      <c r="F48" s="6">
        <v>1150.97</v>
      </c>
      <c r="G48" s="4">
        <v>6</v>
      </c>
      <c r="H48" s="7">
        <v>0</v>
      </c>
      <c r="I48" s="8">
        <f t="shared" si="2"/>
        <v>6905.82</v>
      </c>
      <c r="J48" s="8">
        <f t="shared" si="3"/>
        <v>1520.66</v>
      </c>
      <c r="K48" s="9">
        <v>0.22020000000000001</v>
      </c>
      <c r="L48" s="10">
        <v>3.7</v>
      </c>
    </row>
    <row r="49" spans="1:12" ht="15" customHeight="1" x14ac:dyDescent="0.35">
      <c r="A49" s="4" t="s">
        <v>101</v>
      </c>
      <c r="B49" s="5">
        <v>45801.764705879628</v>
      </c>
      <c r="C49" s="4" t="s">
        <v>42</v>
      </c>
      <c r="D49" s="4" t="s">
        <v>39</v>
      </c>
      <c r="E49" s="4" t="s">
        <v>40</v>
      </c>
      <c r="F49" s="6">
        <v>3494.75</v>
      </c>
      <c r="G49" s="4">
        <v>7</v>
      </c>
      <c r="H49" s="7">
        <v>20</v>
      </c>
      <c r="I49" s="8">
        <f t="shared" si="2"/>
        <v>19570.599999999999</v>
      </c>
      <c r="J49" s="8">
        <f t="shared" si="3"/>
        <v>4514.9399999999996</v>
      </c>
      <c r="K49" s="9">
        <v>0.23069999999999999</v>
      </c>
      <c r="L49" s="10">
        <v>4.0999999999999996</v>
      </c>
    </row>
    <row r="50" spans="1:12" ht="15" customHeight="1" x14ac:dyDescent="0.35">
      <c r="A50" s="4" t="s">
        <v>102</v>
      </c>
      <c r="B50" s="5">
        <v>45804.823529409718</v>
      </c>
      <c r="C50" s="4" t="s">
        <v>38</v>
      </c>
      <c r="D50" s="4" t="s">
        <v>35</v>
      </c>
      <c r="E50" s="4" t="s">
        <v>36</v>
      </c>
      <c r="F50" s="6">
        <v>821.18</v>
      </c>
      <c r="G50" s="4">
        <v>10</v>
      </c>
      <c r="H50" s="7">
        <v>5</v>
      </c>
      <c r="I50" s="8">
        <f t="shared" si="2"/>
        <v>7801.21</v>
      </c>
      <c r="J50" s="8">
        <f t="shared" si="3"/>
        <v>1302.02</v>
      </c>
      <c r="K50" s="9">
        <v>0.16689999999999999</v>
      </c>
      <c r="L50" s="10">
        <v>3.7</v>
      </c>
    </row>
    <row r="51" spans="1:12" ht="15" customHeight="1" x14ac:dyDescent="0.35">
      <c r="A51" s="4" t="s">
        <v>103</v>
      </c>
      <c r="B51" s="5">
        <v>45807.882352939807</v>
      </c>
      <c r="C51" s="4" t="s">
        <v>38</v>
      </c>
      <c r="D51" s="4" t="s">
        <v>39</v>
      </c>
      <c r="E51" s="4" t="s">
        <v>40</v>
      </c>
      <c r="F51" s="6">
        <v>6323.8</v>
      </c>
      <c r="G51" s="4">
        <v>3</v>
      </c>
      <c r="H51" s="7">
        <v>10</v>
      </c>
      <c r="I51" s="8">
        <f t="shared" si="2"/>
        <v>17074.259999999998</v>
      </c>
      <c r="J51" s="8">
        <f t="shared" si="3"/>
        <v>4651.03</v>
      </c>
      <c r="K51" s="9">
        <v>0.27239999999999998</v>
      </c>
      <c r="L51" s="10">
        <v>3.2</v>
      </c>
    </row>
    <row r="52" spans="1:12" ht="15" customHeight="1" x14ac:dyDescent="0.35">
      <c r="A52" s="4" t="s">
        <v>104</v>
      </c>
      <c r="B52" s="5">
        <v>45810.941176469911</v>
      </c>
      <c r="C52" s="4" t="s">
        <v>34</v>
      </c>
      <c r="D52" s="4" t="s">
        <v>39</v>
      </c>
      <c r="E52" s="4" t="s">
        <v>40</v>
      </c>
      <c r="F52" s="6">
        <v>4604.26</v>
      </c>
      <c r="G52" s="4">
        <v>5</v>
      </c>
      <c r="H52" s="7">
        <v>0</v>
      </c>
      <c r="I52" s="8">
        <f t="shared" si="2"/>
        <v>23021.3</v>
      </c>
      <c r="J52" s="8">
        <f t="shared" si="3"/>
        <v>6098.34</v>
      </c>
      <c r="K52" s="9">
        <v>0.26490000000000002</v>
      </c>
      <c r="L52" s="10">
        <v>3.9</v>
      </c>
    </row>
    <row r="53" spans="1:12" ht="15" customHeight="1" x14ac:dyDescent="0.35">
      <c r="A53" s="4" t="s">
        <v>105</v>
      </c>
      <c r="B53" s="5">
        <v>45814</v>
      </c>
      <c r="C53" s="4" t="s">
        <v>63</v>
      </c>
      <c r="D53" s="4" t="s">
        <v>35</v>
      </c>
      <c r="E53" s="4" t="s">
        <v>75</v>
      </c>
      <c r="F53" s="6">
        <v>600.64</v>
      </c>
      <c r="G53" s="4">
        <v>1</v>
      </c>
      <c r="H53" s="7">
        <v>10</v>
      </c>
      <c r="I53" s="8">
        <f t="shared" si="2"/>
        <v>540.58000000000004</v>
      </c>
      <c r="J53" s="8">
        <f t="shared" si="3"/>
        <v>106.44</v>
      </c>
      <c r="K53" s="9">
        <v>0.19689999999999999</v>
      </c>
      <c r="L53" s="10">
        <v>4.2</v>
      </c>
    </row>
    <row r="54" spans="1:12" ht="15" customHeight="1" x14ac:dyDescent="0.35">
      <c r="A54" s="4" t="s">
        <v>106</v>
      </c>
      <c r="B54" s="5">
        <v>45817.058823530089</v>
      </c>
      <c r="C54" s="4" t="s">
        <v>56</v>
      </c>
      <c r="D54" s="4" t="s">
        <v>35</v>
      </c>
      <c r="E54" s="4" t="s">
        <v>75</v>
      </c>
      <c r="F54" s="6">
        <v>874.62</v>
      </c>
      <c r="G54" s="4">
        <v>5</v>
      </c>
      <c r="H54" s="7">
        <v>5</v>
      </c>
      <c r="I54" s="8">
        <f t="shared" si="2"/>
        <v>4154.45</v>
      </c>
      <c r="J54" s="8">
        <f t="shared" si="3"/>
        <v>488.56</v>
      </c>
      <c r="K54" s="9">
        <v>0.1176</v>
      </c>
      <c r="L54" s="10">
        <v>2.8</v>
      </c>
    </row>
    <row r="55" spans="1:12" ht="15" customHeight="1" x14ac:dyDescent="0.35">
      <c r="A55" s="4" t="s">
        <v>107</v>
      </c>
      <c r="B55" s="5">
        <v>45820.117647060193</v>
      </c>
      <c r="C55" s="4" t="s">
        <v>50</v>
      </c>
      <c r="D55" s="4" t="s">
        <v>39</v>
      </c>
      <c r="E55" s="4" t="s">
        <v>52</v>
      </c>
      <c r="F55" s="6">
        <v>7815.64</v>
      </c>
      <c r="G55" s="4">
        <v>1</v>
      </c>
      <c r="H55" s="7">
        <v>5</v>
      </c>
      <c r="I55" s="8">
        <f t="shared" si="2"/>
        <v>7424.86</v>
      </c>
      <c r="J55" s="8">
        <f t="shared" si="3"/>
        <v>1204.31</v>
      </c>
      <c r="K55" s="9">
        <v>0.16220000000000001</v>
      </c>
      <c r="L55" s="10">
        <v>3.7</v>
      </c>
    </row>
    <row r="56" spans="1:12" ht="15" customHeight="1" x14ac:dyDescent="0.35">
      <c r="A56" s="4" t="s">
        <v>108</v>
      </c>
      <c r="B56" s="5">
        <v>45823.176470590282</v>
      </c>
      <c r="C56" s="4" t="s">
        <v>42</v>
      </c>
      <c r="D56" s="4" t="s">
        <v>43</v>
      </c>
      <c r="E56" s="4" t="s">
        <v>44</v>
      </c>
      <c r="F56" s="6">
        <v>1141.96</v>
      </c>
      <c r="G56" s="4">
        <v>3</v>
      </c>
      <c r="H56" s="7">
        <v>15</v>
      </c>
      <c r="I56" s="8">
        <f t="shared" si="2"/>
        <v>2912</v>
      </c>
      <c r="J56" s="8">
        <f t="shared" si="3"/>
        <v>590.26</v>
      </c>
      <c r="K56" s="9">
        <v>0.20269999999999999</v>
      </c>
      <c r="L56" s="10">
        <v>4.4000000000000004</v>
      </c>
    </row>
    <row r="57" spans="1:12" ht="15" customHeight="1" x14ac:dyDescent="0.35">
      <c r="A57" s="4" t="s">
        <v>109</v>
      </c>
      <c r="B57" s="5">
        <v>45826.235294120372</v>
      </c>
      <c r="C57" s="4" t="s">
        <v>50</v>
      </c>
      <c r="D57" s="4" t="s">
        <v>43</v>
      </c>
      <c r="E57" s="4" t="s">
        <v>44</v>
      </c>
      <c r="F57" s="6">
        <v>2883.48</v>
      </c>
      <c r="G57" s="4">
        <v>1</v>
      </c>
      <c r="H57" s="7">
        <v>5</v>
      </c>
      <c r="I57" s="8">
        <f t="shared" si="2"/>
        <v>2739.31</v>
      </c>
      <c r="J57" s="8">
        <f t="shared" si="3"/>
        <v>629.77</v>
      </c>
      <c r="K57" s="9">
        <v>0.22989999999999999</v>
      </c>
      <c r="L57" s="10">
        <v>3.9</v>
      </c>
    </row>
    <row r="58" spans="1:12" ht="15" customHeight="1" x14ac:dyDescent="0.35">
      <c r="A58" s="4" t="s">
        <v>110</v>
      </c>
      <c r="B58" s="5">
        <v>45829.294117650461</v>
      </c>
      <c r="C58" s="4" t="s">
        <v>56</v>
      </c>
      <c r="D58" s="4" t="s">
        <v>35</v>
      </c>
      <c r="E58" s="4" t="s">
        <v>36</v>
      </c>
      <c r="F58" s="6">
        <v>162.6</v>
      </c>
      <c r="G58" s="4">
        <v>1</v>
      </c>
      <c r="H58" s="7">
        <v>0</v>
      </c>
      <c r="I58" s="8">
        <f t="shared" si="2"/>
        <v>162.6</v>
      </c>
      <c r="J58" s="8">
        <f t="shared" si="3"/>
        <v>15.46</v>
      </c>
      <c r="K58" s="9">
        <v>9.5100000000000004E-2</v>
      </c>
      <c r="L58" s="10">
        <v>4.2</v>
      </c>
    </row>
    <row r="59" spans="1:12" ht="15" customHeight="1" x14ac:dyDescent="0.35">
      <c r="A59" s="4" t="s">
        <v>111</v>
      </c>
      <c r="B59" s="5">
        <v>45832.352941180558</v>
      </c>
      <c r="C59" s="4" t="s">
        <v>42</v>
      </c>
      <c r="D59" s="4" t="s">
        <v>35</v>
      </c>
      <c r="E59" s="4" t="s">
        <v>54</v>
      </c>
      <c r="F59" s="6">
        <v>1387.04</v>
      </c>
      <c r="G59" s="4">
        <v>3</v>
      </c>
      <c r="H59" s="7">
        <v>5</v>
      </c>
      <c r="I59" s="8">
        <f t="shared" si="2"/>
        <v>3953.06</v>
      </c>
      <c r="J59" s="8">
        <f t="shared" si="3"/>
        <v>672.42</v>
      </c>
      <c r="K59" s="9">
        <v>0.1701</v>
      </c>
      <c r="L59" s="10">
        <v>5</v>
      </c>
    </row>
    <row r="60" spans="1:12" ht="15" customHeight="1" x14ac:dyDescent="0.35">
      <c r="A60" s="4" t="s">
        <v>112</v>
      </c>
      <c r="B60" s="5">
        <v>45835.411764710647</v>
      </c>
      <c r="C60" s="4" t="s">
        <v>38</v>
      </c>
      <c r="D60" s="4" t="s">
        <v>39</v>
      </c>
      <c r="E60" s="4" t="s">
        <v>52</v>
      </c>
      <c r="F60" s="6">
        <v>5164.46</v>
      </c>
      <c r="G60" s="4">
        <v>2</v>
      </c>
      <c r="H60" s="7">
        <v>5</v>
      </c>
      <c r="I60" s="8">
        <f t="shared" si="2"/>
        <v>9812.4699999999993</v>
      </c>
      <c r="J60" s="8">
        <f t="shared" si="3"/>
        <v>1007.74</v>
      </c>
      <c r="K60" s="9">
        <v>0.1027</v>
      </c>
      <c r="L60" s="10">
        <v>4.0999999999999996</v>
      </c>
    </row>
    <row r="61" spans="1:12" ht="15" customHeight="1" x14ac:dyDescent="0.35">
      <c r="A61" s="4" t="s">
        <v>113</v>
      </c>
      <c r="B61" s="5">
        <v>45838.470588240743</v>
      </c>
      <c r="C61" s="4" t="s">
        <v>38</v>
      </c>
      <c r="D61" s="4" t="s">
        <v>35</v>
      </c>
      <c r="E61" s="4" t="s">
        <v>75</v>
      </c>
      <c r="F61" s="6">
        <v>1053.5999999999999</v>
      </c>
      <c r="G61" s="4">
        <v>9</v>
      </c>
      <c r="H61" s="7">
        <v>10</v>
      </c>
      <c r="I61" s="8">
        <f t="shared" si="2"/>
        <v>8534.16</v>
      </c>
      <c r="J61" s="8">
        <f t="shared" si="3"/>
        <v>1502.01</v>
      </c>
      <c r="K61" s="9">
        <v>0.17599999999999999</v>
      </c>
      <c r="L61" s="10">
        <v>5</v>
      </c>
    </row>
    <row r="62" spans="1:12" ht="15" customHeight="1" x14ac:dyDescent="0.35">
      <c r="A62" s="4" t="s">
        <v>114</v>
      </c>
      <c r="B62" s="5">
        <v>45841.529411759257</v>
      </c>
      <c r="C62" s="4" t="s">
        <v>42</v>
      </c>
      <c r="D62" s="4" t="s">
        <v>43</v>
      </c>
      <c r="E62" s="4" t="s">
        <v>46</v>
      </c>
      <c r="F62" s="6">
        <v>5938.27</v>
      </c>
      <c r="G62" s="4">
        <v>2</v>
      </c>
      <c r="H62" s="7">
        <v>5</v>
      </c>
      <c r="I62" s="8">
        <f t="shared" si="2"/>
        <v>11282.71</v>
      </c>
      <c r="J62" s="8">
        <f t="shared" si="3"/>
        <v>2233.98</v>
      </c>
      <c r="K62" s="9">
        <v>0.19800000000000001</v>
      </c>
      <c r="L62" s="10">
        <v>3.3</v>
      </c>
    </row>
    <row r="63" spans="1:12" ht="15" customHeight="1" x14ac:dyDescent="0.35">
      <c r="A63" s="4" t="s">
        <v>115</v>
      </c>
      <c r="B63" s="5">
        <v>45844.588235289353</v>
      </c>
      <c r="C63" s="4" t="s">
        <v>50</v>
      </c>
      <c r="D63" s="4" t="s">
        <v>39</v>
      </c>
      <c r="E63" s="4" t="s">
        <v>64</v>
      </c>
      <c r="F63" s="6">
        <v>4046.56</v>
      </c>
      <c r="G63" s="4">
        <v>10</v>
      </c>
      <c r="H63" s="7">
        <v>15</v>
      </c>
      <c r="I63" s="8">
        <f t="shared" si="2"/>
        <v>34395.760000000002</v>
      </c>
      <c r="J63" s="8">
        <f t="shared" si="3"/>
        <v>9283.42</v>
      </c>
      <c r="K63" s="9">
        <v>0.26989999999999997</v>
      </c>
      <c r="L63" s="10">
        <v>2.9</v>
      </c>
    </row>
    <row r="64" spans="1:12" ht="15" customHeight="1" x14ac:dyDescent="0.35">
      <c r="A64" s="4" t="s">
        <v>116</v>
      </c>
      <c r="B64" s="5">
        <v>45847.647058819442</v>
      </c>
      <c r="C64" s="4" t="s">
        <v>34</v>
      </c>
      <c r="D64" s="4" t="s">
        <v>43</v>
      </c>
      <c r="E64" s="4" t="s">
        <v>44</v>
      </c>
      <c r="F64" s="6">
        <v>2197.8200000000002</v>
      </c>
      <c r="G64" s="4">
        <v>2</v>
      </c>
      <c r="H64" s="7">
        <v>10</v>
      </c>
      <c r="I64" s="8">
        <f t="shared" si="2"/>
        <v>3956.08</v>
      </c>
      <c r="J64" s="8">
        <f t="shared" si="3"/>
        <v>591.42999999999995</v>
      </c>
      <c r="K64" s="9">
        <v>0.14949999999999999</v>
      </c>
      <c r="L64" s="10">
        <v>4.2</v>
      </c>
    </row>
    <row r="65" spans="1:12" ht="15" customHeight="1" x14ac:dyDescent="0.35">
      <c r="A65" s="4" t="s">
        <v>117</v>
      </c>
      <c r="B65" s="5">
        <v>45850.705882349539</v>
      </c>
      <c r="C65" s="4" t="s">
        <v>63</v>
      </c>
      <c r="D65" s="4" t="s">
        <v>39</v>
      </c>
      <c r="E65" s="4" t="s">
        <v>52</v>
      </c>
      <c r="F65" s="6">
        <v>4112.8599999999997</v>
      </c>
      <c r="G65" s="4">
        <v>8</v>
      </c>
      <c r="H65" s="7">
        <v>5</v>
      </c>
      <c r="I65" s="8">
        <f t="shared" si="2"/>
        <v>31257.74</v>
      </c>
      <c r="J65" s="8">
        <f t="shared" si="3"/>
        <v>6854.82</v>
      </c>
      <c r="K65" s="9">
        <v>0.21929999999999999</v>
      </c>
      <c r="L65" s="10">
        <v>3.2</v>
      </c>
    </row>
    <row r="66" spans="1:12" ht="15" customHeight="1" x14ac:dyDescent="0.35">
      <c r="A66" s="4" t="s">
        <v>118</v>
      </c>
      <c r="B66" s="5">
        <v>45853.764705879628</v>
      </c>
      <c r="C66" s="4" t="s">
        <v>56</v>
      </c>
      <c r="D66" s="4" t="s">
        <v>35</v>
      </c>
      <c r="E66" s="4" t="s">
        <v>36</v>
      </c>
      <c r="F66" s="6">
        <v>1123.29</v>
      </c>
      <c r="G66" s="4">
        <v>3</v>
      </c>
      <c r="H66" s="7">
        <v>0</v>
      </c>
      <c r="I66" s="8">
        <f t="shared" ref="I66:I97" si="4">ROUND(F66*G66*(1-H66/100),2)</f>
        <v>3369.87</v>
      </c>
      <c r="J66" s="8">
        <f t="shared" ref="J66:J97" si="5">ROUND(I66*K66,2)</f>
        <v>383.49</v>
      </c>
      <c r="K66" s="9">
        <v>0.1138</v>
      </c>
      <c r="L66" s="10">
        <v>3.6</v>
      </c>
    </row>
    <row r="67" spans="1:12" ht="15" customHeight="1" x14ac:dyDescent="0.35">
      <c r="A67" s="4" t="s">
        <v>119</v>
      </c>
      <c r="B67" s="5">
        <v>45856.823529409718</v>
      </c>
      <c r="C67" s="4" t="s">
        <v>42</v>
      </c>
      <c r="D67" s="4" t="s">
        <v>43</v>
      </c>
      <c r="E67" s="4" t="s">
        <v>44</v>
      </c>
      <c r="F67" s="6">
        <v>1896.74</v>
      </c>
      <c r="G67" s="4">
        <v>10</v>
      </c>
      <c r="H67" s="7">
        <v>10</v>
      </c>
      <c r="I67" s="8">
        <f t="shared" si="4"/>
        <v>17070.66</v>
      </c>
      <c r="J67" s="8">
        <f t="shared" si="5"/>
        <v>1500.51</v>
      </c>
      <c r="K67" s="9">
        <v>8.7900000000000006E-2</v>
      </c>
      <c r="L67" s="10">
        <v>3.7</v>
      </c>
    </row>
    <row r="68" spans="1:12" ht="15" customHeight="1" x14ac:dyDescent="0.35">
      <c r="A68" s="4" t="s">
        <v>120</v>
      </c>
      <c r="B68" s="5">
        <v>45859.882352939807</v>
      </c>
      <c r="C68" s="4" t="s">
        <v>56</v>
      </c>
      <c r="D68" s="4" t="s">
        <v>43</v>
      </c>
      <c r="E68" s="4" t="s">
        <v>46</v>
      </c>
      <c r="F68" s="6">
        <v>5766.76</v>
      </c>
      <c r="G68" s="4">
        <v>1</v>
      </c>
      <c r="H68" s="7">
        <v>5</v>
      </c>
      <c r="I68" s="8">
        <f t="shared" si="4"/>
        <v>5478.42</v>
      </c>
      <c r="J68" s="8">
        <f t="shared" si="5"/>
        <v>1321.39</v>
      </c>
      <c r="K68" s="9">
        <v>0.2412</v>
      </c>
      <c r="L68" s="10">
        <v>3.6</v>
      </c>
    </row>
    <row r="69" spans="1:12" ht="15" customHeight="1" x14ac:dyDescent="0.35">
      <c r="A69" s="4" t="s">
        <v>121</v>
      </c>
      <c r="B69" s="5">
        <v>45862.941176469911</v>
      </c>
      <c r="C69" s="4" t="s">
        <v>38</v>
      </c>
      <c r="D69" s="4" t="s">
        <v>39</v>
      </c>
      <c r="E69" s="4" t="s">
        <v>40</v>
      </c>
      <c r="F69" s="6">
        <v>3456.18</v>
      </c>
      <c r="G69" s="4">
        <v>8</v>
      </c>
      <c r="H69" s="7">
        <v>0</v>
      </c>
      <c r="I69" s="8">
        <f t="shared" si="4"/>
        <v>27649.439999999999</v>
      </c>
      <c r="J69" s="8">
        <f t="shared" si="5"/>
        <v>6010.99</v>
      </c>
      <c r="K69" s="9">
        <v>0.21740000000000001</v>
      </c>
      <c r="L69" s="10">
        <v>4.3</v>
      </c>
    </row>
    <row r="70" spans="1:12" ht="15" customHeight="1" x14ac:dyDescent="0.35">
      <c r="A70" s="4" t="s">
        <v>122</v>
      </c>
      <c r="B70" s="5">
        <v>45866</v>
      </c>
      <c r="C70" s="4" t="s">
        <v>38</v>
      </c>
      <c r="D70" s="4" t="s">
        <v>35</v>
      </c>
      <c r="E70" s="4" t="s">
        <v>71</v>
      </c>
      <c r="F70" s="6">
        <v>1005.45</v>
      </c>
      <c r="G70" s="4">
        <v>9</v>
      </c>
      <c r="H70" s="7">
        <v>15</v>
      </c>
      <c r="I70" s="8">
        <f t="shared" si="4"/>
        <v>7691.69</v>
      </c>
      <c r="J70" s="8">
        <f t="shared" si="5"/>
        <v>896.08</v>
      </c>
      <c r="K70" s="9">
        <v>0.11650000000000001</v>
      </c>
      <c r="L70" s="10">
        <v>4.7</v>
      </c>
    </row>
    <row r="71" spans="1:12" ht="15" customHeight="1" x14ac:dyDescent="0.35">
      <c r="A71" s="4" t="s">
        <v>123</v>
      </c>
      <c r="B71" s="5">
        <v>45869.058823530089</v>
      </c>
      <c r="C71" s="4" t="s">
        <v>38</v>
      </c>
      <c r="D71" s="4" t="s">
        <v>39</v>
      </c>
      <c r="E71" s="4" t="s">
        <v>40</v>
      </c>
      <c r="F71" s="6">
        <v>2479.16</v>
      </c>
      <c r="G71" s="4">
        <v>10</v>
      </c>
      <c r="H71" s="7">
        <v>15</v>
      </c>
      <c r="I71" s="8">
        <f t="shared" si="4"/>
        <v>21072.86</v>
      </c>
      <c r="J71" s="8">
        <f t="shared" si="5"/>
        <v>3786.79</v>
      </c>
      <c r="K71" s="9">
        <v>0.1797</v>
      </c>
      <c r="L71" s="10">
        <v>4.0999999999999996</v>
      </c>
    </row>
    <row r="72" spans="1:12" ht="15" customHeight="1" x14ac:dyDescent="0.35">
      <c r="A72" s="4" t="s">
        <v>124</v>
      </c>
      <c r="B72" s="5">
        <v>45872.117647060193</v>
      </c>
      <c r="C72" s="4" t="s">
        <v>34</v>
      </c>
      <c r="D72" s="4" t="s">
        <v>43</v>
      </c>
      <c r="E72" s="4" t="s">
        <v>46</v>
      </c>
      <c r="F72" s="6">
        <v>4101.91</v>
      </c>
      <c r="G72" s="4">
        <v>10</v>
      </c>
      <c r="H72" s="7">
        <v>5</v>
      </c>
      <c r="I72" s="8">
        <f t="shared" si="4"/>
        <v>38968.15</v>
      </c>
      <c r="J72" s="8">
        <f t="shared" si="5"/>
        <v>5946.54</v>
      </c>
      <c r="K72" s="9">
        <v>0.15260000000000001</v>
      </c>
      <c r="L72" s="10">
        <v>4.5</v>
      </c>
    </row>
    <row r="73" spans="1:12" ht="15" customHeight="1" x14ac:dyDescent="0.35">
      <c r="A73" s="4" t="s">
        <v>125</v>
      </c>
      <c r="B73" s="5">
        <v>45875.176470590282</v>
      </c>
      <c r="C73" s="4" t="s">
        <v>63</v>
      </c>
      <c r="D73" s="4" t="s">
        <v>35</v>
      </c>
      <c r="E73" s="4" t="s">
        <v>54</v>
      </c>
      <c r="F73" s="6">
        <v>483.06</v>
      </c>
      <c r="G73" s="4">
        <v>6</v>
      </c>
      <c r="H73" s="7">
        <v>5</v>
      </c>
      <c r="I73" s="8">
        <f t="shared" si="4"/>
        <v>2753.44</v>
      </c>
      <c r="J73" s="8">
        <f t="shared" si="5"/>
        <v>308.66000000000003</v>
      </c>
      <c r="K73" s="9">
        <v>0.11210000000000001</v>
      </c>
      <c r="L73" s="10">
        <v>5</v>
      </c>
    </row>
    <row r="74" spans="1:12" ht="15" customHeight="1" x14ac:dyDescent="0.35">
      <c r="A74" s="4" t="s">
        <v>126</v>
      </c>
      <c r="B74" s="5">
        <v>45878.235294120372</v>
      </c>
      <c r="C74" s="4" t="s">
        <v>63</v>
      </c>
      <c r="D74" s="4" t="s">
        <v>39</v>
      </c>
      <c r="E74" s="4" t="s">
        <v>64</v>
      </c>
      <c r="F74" s="6">
        <v>2048.29</v>
      </c>
      <c r="G74" s="4">
        <v>3</v>
      </c>
      <c r="H74" s="7">
        <v>0</v>
      </c>
      <c r="I74" s="8">
        <f t="shared" si="4"/>
        <v>6144.87</v>
      </c>
      <c r="J74" s="8">
        <f t="shared" si="5"/>
        <v>1348.18</v>
      </c>
      <c r="K74" s="9">
        <v>0.21940000000000001</v>
      </c>
      <c r="L74" s="10">
        <v>4.4000000000000004</v>
      </c>
    </row>
    <row r="75" spans="1:12" ht="15" customHeight="1" x14ac:dyDescent="0.35">
      <c r="A75" s="4" t="s">
        <v>127</v>
      </c>
      <c r="B75" s="5">
        <v>45881.294117650461</v>
      </c>
      <c r="C75" s="4" t="s">
        <v>38</v>
      </c>
      <c r="D75" s="4" t="s">
        <v>35</v>
      </c>
      <c r="E75" s="4" t="s">
        <v>75</v>
      </c>
      <c r="F75" s="6">
        <v>1679.94</v>
      </c>
      <c r="G75" s="4">
        <v>8</v>
      </c>
      <c r="H75" s="7">
        <v>10</v>
      </c>
      <c r="I75" s="8">
        <f t="shared" si="4"/>
        <v>12095.57</v>
      </c>
      <c r="J75" s="8">
        <f t="shared" si="5"/>
        <v>2996.07</v>
      </c>
      <c r="K75" s="9">
        <v>0.2477</v>
      </c>
      <c r="L75" s="10">
        <v>4.0999999999999996</v>
      </c>
    </row>
    <row r="76" spans="1:12" ht="15" customHeight="1" x14ac:dyDescent="0.35">
      <c r="A76" s="4" t="s">
        <v>128</v>
      </c>
      <c r="B76" s="5">
        <v>45884.352941180558</v>
      </c>
      <c r="C76" s="4" t="s">
        <v>42</v>
      </c>
      <c r="D76" s="4" t="s">
        <v>39</v>
      </c>
      <c r="E76" s="4" t="s">
        <v>64</v>
      </c>
      <c r="F76" s="6">
        <v>5918.86</v>
      </c>
      <c r="G76" s="4">
        <v>1</v>
      </c>
      <c r="H76" s="7">
        <v>10</v>
      </c>
      <c r="I76" s="8">
        <f t="shared" si="4"/>
        <v>5326.97</v>
      </c>
      <c r="J76" s="8">
        <f t="shared" si="5"/>
        <v>733.52</v>
      </c>
      <c r="K76" s="9">
        <v>0.13769999999999999</v>
      </c>
      <c r="L76" s="10">
        <v>3.4</v>
      </c>
    </row>
    <row r="77" spans="1:12" ht="15" customHeight="1" x14ac:dyDescent="0.35">
      <c r="A77" s="4" t="s">
        <v>129</v>
      </c>
      <c r="B77" s="5">
        <v>45887.411764710647</v>
      </c>
      <c r="C77" s="4" t="s">
        <v>34</v>
      </c>
      <c r="D77" s="4" t="s">
        <v>39</v>
      </c>
      <c r="E77" s="4" t="s">
        <v>58</v>
      </c>
      <c r="F77" s="6">
        <v>1173.1300000000001</v>
      </c>
      <c r="G77" s="4">
        <v>7</v>
      </c>
      <c r="H77" s="7">
        <v>10</v>
      </c>
      <c r="I77" s="8">
        <f t="shared" si="4"/>
        <v>7390.72</v>
      </c>
      <c r="J77" s="8">
        <f t="shared" si="5"/>
        <v>889.1</v>
      </c>
      <c r="K77" s="9">
        <v>0.1203</v>
      </c>
      <c r="L77" s="10">
        <v>4.0999999999999996</v>
      </c>
    </row>
    <row r="78" spans="1:12" ht="15" customHeight="1" x14ac:dyDescent="0.35">
      <c r="A78" s="4" t="s">
        <v>130</v>
      </c>
      <c r="B78" s="5">
        <v>45890.470588240743</v>
      </c>
      <c r="C78" s="4" t="s">
        <v>50</v>
      </c>
      <c r="D78" s="4" t="s">
        <v>39</v>
      </c>
      <c r="E78" s="4" t="s">
        <v>58</v>
      </c>
      <c r="F78" s="6">
        <v>5706.82</v>
      </c>
      <c r="G78" s="4">
        <v>8</v>
      </c>
      <c r="H78" s="7">
        <v>10</v>
      </c>
      <c r="I78" s="8">
        <f t="shared" si="4"/>
        <v>41089.1</v>
      </c>
      <c r="J78" s="8">
        <f t="shared" si="5"/>
        <v>9816.19</v>
      </c>
      <c r="K78" s="9">
        <v>0.2389</v>
      </c>
      <c r="L78" s="10">
        <v>3.7</v>
      </c>
    </row>
    <row r="79" spans="1:12" ht="15" customHeight="1" x14ac:dyDescent="0.35">
      <c r="A79" s="4" t="s">
        <v>131</v>
      </c>
      <c r="B79" s="5">
        <v>45893.529411759257</v>
      </c>
      <c r="C79" s="4" t="s">
        <v>42</v>
      </c>
      <c r="D79" s="4" t="s">
        <v>35</v>
      </c>
      <c r="E79" s="4" t="s">
        <v>54</v>
      </c>
      <c r="F79" s="6">
        <v>1674.96</v>
      </c>
      <c r="G79" s="4">
        <v>6</v>
      </c>
      <c r="H79" s="7">
        <v>0</v>
      </c>
      <c r="I79" s="8">
        <f t="shared" si="4"/>
        <v>10049.76</v>
      </c>
      <c r="J79" s="8">
        <f t="shared" si="5"/>
        <v>2374.7600000000002</v>
      </c>
      <c r="K79" s="9">
        <v>0.23630000000000001</v>
      </c>
      <c r="L79" s="10">
        <v>4.8</v>
      </c>
    </row>
    <row r="80" spans="1:12" ht="15" customHeight="1" x14ac:dyDescent="0.35">
      <c r="A80" s="4" t="s">
        <v>132</v>
      </c>
      <c r="B80" s="5">
        <v>45896.588235289353</v>
      </c>
      <c r="C80" s="4" t="s">
        <v>63</v>
      </c>
      <c r="D80" s="4" t="s">
        <v>35</v>
      </c>
      <c r="E80" s="4" t="s">
        <v>75</v>
      </c>
      <c r="F80" s="6">
        <v>416.89</v>
      </c>
      <c r="G80" s="4">
        <v>3</v>
      </c>
      <c r="H80" s="7">
        <v>10</v>
      </c>
      <c r="I80" s="8">
        <f t="shared" si="4"/>
        <v>1125.5999999999999</v>
      </c>
      <c r="J80" s="8">
        <f t="shared" si="5"/>
        <v>207.79</v>
      </c>
      <c r="K80" s="9">
        <v>0.18459999999999999</v>
      </c>
      <c r="L80" s="10">
        <v>4.5</v>
      </c>
    </row>
    <row r="81" spans="1:12" ht="15" customHeight="1" x14ac:dyDescent="0.35">
      <c r="A81" s="4" t="s">
        <v>133</v>
      </c>
      <c r="B81" s="5">
        <v>45899.647058819442</v>
      </c>
      <c r="C81" s="4" t="s">
        <v>56</v>
      </c>
      <c r="D81" s="4" t="s">
        <v>43</v>
      </c>
      <c r="E81" s="4" t="s">
        <v>61</v>
      </c>
      <c r="F81" s="6">
        <v>2886.28</v>
      </c>
      <c r="G81" s="4">
        <v>6</v>
      </c>
      <c r="H81" s="7">
        <v>10</v>
      </c>
      <c r="I81" s="8">
        <f t="shared" si="4"/>
        <v>15585.91</v>
      </c>
      <c r="J81" s="8">
        <f t="shared" si="5"/>
        <v>2613.7600000000002</v>
      </c>
      <c r="K81" s="9">
        <v>0.16769999999999999</v>
      </c>
      <c r="L81" s="10">
        <v>3.8</v>
      </c>
    </row>
    <row r="82" spans="1:12" ht="15" customHeight="1" x14ac:dyDescent="0.35">
      <c r="A82" s="4" t="s">
        <v>134</v>
      </c>
      <c r="B82" s="5">
        <v>45902.705882349539</v>
      </c>
      <c r="C82" s="4" t="s">
        <v>56</v>
      </c>
      <c r="D82" s="4" t="s">
        <v>39</v>
      </c>
      <c r="E82" s="4" t="s">
        <v>52</v>
      </c>
      <c r="F82" s="6">
        <v>3618.67</v>
      </c>
      <c r="G82" s="4">
        <v>8</v>
      </c>
      <c r="H82" s="7">
        <v>10</v>
      </c>
      <c r="I82" s="8">
        <f t="shared" si="4"/>
        <v>26054.42</v>
      </c>
      <c r="J82" s="8">
        <f t="shared" si="5"/>
        <v>2694.03</v>
      </c>
      <c r="K82" s="9">
        <v>0.10340000000000001</v>
      </c>
      <c r="L82" s="10">
        <v>4.0999999999999996</v>
      </c>
    </row>
    <row r="83" spans="1:12" ht="15" customHeight="1" x14ac:dyDescent="0.35">
      <c r="A83" s="4" t="s">
        <v>135</v>
      </c>
      <c r="B83" s="5">
        <v>45905.764705879628</v>
      </c>
      <c r="C83" s="4" t="s">
        <v>50</v>
      </c>
      <c r="D83" s="4" t="s">
        <v>39</v>
      </c>
      <c r="E83" s="4" t="s">
        <v>58</v>
      </c>
      <c r="F83" s="6">
        <v>7126.13</v>
      </c>
      <c r="G83" s="4">
        <v>4</v>
      </c>
      <c r="H83" s="7">
        <v>20</v>
      </c>
      <c r="I83" s="8">
        <f t="shared" si="4"/>
        <v>22803.62</v>
      </c>
      <c r="J83" s="8">
        <f t="shared" si="5"/>
        <v>5256.23</v>
      </c>
      <c r="K83" s="9">
        <v>0.23050000000000001</v>
      </c>
      <c r="L83" s="10">
        <v>4.3</v>
      </c>
    </row>
    <row r="84" spans="1:12" ht="15" customHeight="1" x14ac:dyDescent="0.35">
      <c r="A84" s="4" t="s">
        <v>136</v>
      </c>
      <c r="B84" s="5">
        <v>45908.823529409718</v>
      </c>
      <c r="C84" s="4" t="s">
        <v>42</v>
      </c>
      <c r="D84" s="4" t="s">
        <v>39</v>
      </c>
      <c r="E84" s="4" t="s">
        <v>58</v>
      </c>
      <c r="F84" s="6">
        <v>1830.52</v>
      </c>
      <c r="G84" s="4">
        <v>5</v>
      </c>
      <c r="H84" s="7">
        <v>15</v>
      </c>
      <c r="I84" s="8">
        <f t="shared" si="4"/>
        <v>7779.71</v>
      </c>
      <c r="J84" s="8">
        <f t="shared" si="5"/>
        <v>1154.51</v>
      </c>
      <c r="K84" s="9">
        <v>0.1484</v>
      </c>
      <c r="L84" s="10">
        <v>4.7</v>
      </c>
    </row>
    <row r="85" spans="1:12" ht="15" customHeight="1" x14ac:dyDescent="0.35">
      <c r="A85" s="4" t="s">
        <v>137</v>
      </c>
      <c r="B85" s="5">
        <v>45911.882352939807</v>
      </c>
      <c r="C85" s="4" t="s">
        <v>42</v>
      </c>
      <c r="D85" s="4" t="s">
        <v>43</v>
      </c>
      <c r="E85" s="4" t="s">
        <v>61</v>
      </c>
      <c r="F85" s="6">
        <v>4876.21</v>
      </c>
      <c r="G85" s="4">
        <v>3</v>
      </c>
      <c r="H85" s="7">
        <v>10</v>
      </c>
      <c r="I85" s="8">
        <f t="shared" si="4"/>
        <v>13165.77</v>
      </c>
      <c r="J85" s="8">
        <f t="shared" si="5"/>
        <v>2938.6</v>
      </c>
      <c r="K85" s="9">
        <v>0.22320000000000001</v>
      </c>
      <c r="L85" s="10">
        <v>3.8</v>
      </c>
    </row>
    <row r="86" spans="1:12" ht="15" customHeight="1" x14ac:dyDescent="0.35">
      <c r="A86" s="4" t="s">
        <v>138</v>
      </c>
      <c r="B86" s="5">
        <v>45914.941176469911</v>
      </c>
      <c r="C86" s="4" t="s">
        <v>63</v>
      </c>
      <c r="D86" s="4" t="s">
        <v>39</v>
      </c>
      <c r="E86" s="4" t="s">
        <v>58</v>
      </c>
      <c r="F86" s="6">
        <v>7705.34</v>
      </c>
      <c r="G86" s="4">
        <v>7</v>
      </c>
      <c r="H86" s="7">
        <v>10</v>
      </c>
      <c r="I86" s="8">
        <f t="shared" si="4"/>
        <v>48543.64</v>
      </c>
      <c r="J86" s="8">
        <f t="shared" si="5"/>
        <v>13082.51</v>
      </c>
      <c r="K86" s="9">
        <v>0.26950000000000002</v>
      </c>
      <c r="L86" s="10">
        <v>4.2</v>
      </c>
    </row>
    <row r="87" spans="1:12" ht="15" customHeight="1" x14ac:dyDescent="0.35">
      <c r="A87" s="4" t="s">
        <v>139</v>
      </c>
      <c r="B87" s="5">
        <v>45918</v>
      </c>
      <c r="C87" s="4" t="s">
        <v>38</v>
      </c>
      <c r="D87" s="4" t="s">
        <v>39</v>
      </c>
      <c r="E87" s="4" t="s">
        <v>52</v>
      </c>
      <c r="F87" s="6">
        <v>930.39</v>
      </c>
      <c r="G87" s="4">
        <v>4</v>
      </c>
      <c r="H87" s="7">
        <v>20</v>
      </c>
      <c r="I87" s="8">
        <f t="shared" si="4"/>
        <v>2977.25</v>
      </c>
      <c r="J87" s="8">
        <f t="shared" si="5"/>
        <v>708.59</v>
      </c>
      <c r="K87" s="9">
        <v>0.23799999999999999</v>
      </c>
      <c r="L87" s="10">
        <v>3.4</v>
      </c>
    </row>
    <row r="88" spans="1:12" ht="15" customHeight="1" x14ac:dyDescent="0.35">
      <c r="A88" s="4" t="s">
        <v>140</v>
      </c>
      <c r="B88" s="5">
        <v>45921.058823530089</v>
      </c>
      <c r="C88" s="4" t="s">
        <v>42</v>
      </c>
      <c r="D88" s="4" t="s">
        <v>35</v>
      </c>
      <c r="E88" s="4" t="s">
        <v>75</v>
      </c>
      <c r="F88" s="6">
        <v>825.23</v>
      </c>
      <c r="G88" s="4">
        <v>3</v>
      </c>
      <c r="H88" s="7">
        <v>15</v>
      </c>
      <c r="I88" s="8">
        <f t="shared" si="4"/>
        <v>2104.34</v>
      </c>
      <c r="J88" s="8">
        <f t="shared" si="5"/>
        <v>517.25</v>
      </c>
      <c r="K88" s="9">
        <v>0.24579999999999999</v>
      </c>
      <c r="L88" s="10">
        <v>4</v>
      </c>
    </row>
    <row r="89" spans="1:12" ht="15" customHeight="1" x14ac:dyDescent="0.35">
      <c r="A89" s="4" t="s">
        <v>141</v>
      </c>
      <c r="B89" s="5">
        <v>45924.117647060193</v>
      </c>
      <c r="C89" s="4" t="s">
        <v>38</v>
      </c>
      <c r="D89" s="4" t="s">
        <v>39</v>
      </c>
      <c r="E89" s="4" t="s">
        <v>64</v>
      </c>
      <c r="F89" s="6">
        <v>6840.07</v>
      </c>
      <c r="G89" s="4">
        <v>6</v>
      </c>
      <c r="H89" s="7">
        <v>10</v>
      </c>
      <c r="I89" s="8">
        <f t="shared" si="4"/>
        <v>36936.379999999997</v>
      </c>
      <c r="J89" s="8">
        <f t="shared" si="5"/>
        <v>7324.48</v>
      </c>
      <c r="K89" s="9">
        <v>0.1983</v>
      </c>
      <c r="L89" s="10">
        <v>4.4000000000000004</v>
      </c>
    </row>
    <row r="90" spans="1:12" ht="15" customHeight="1" x14ac:dyDescent="0.35">
      <c r="A90" s="4" t="s">
        <v>142</v>
      </c>
      <c r="B90" s="5">
        <v>45927.176470590282</v>
      </c>
      <c r="C90" s="4" t="s">
        <v>42</v>
      </c>
      <c r="D90" s="4" t="s">
        <v>39</v>
      </c>
      <c r="E90" s="4" t="s">
        <v>52</v>
      </c>
      <c r="F90" s="6">
        <v>3213.42</v>
      </c>
      <c r="G90" s="4">
        <v>9</v>
      </c>
      <c r="H90" s="7">
        <v>0</v>
      </c>
      <c r="I90" s="8">
        <f t="shared" si="4"/>
        <v>28920.78</v>
      </c>
      <c r="J90" s="8">
        <f t="shared" si="5"/>
        <v>4711.2</v>
      </c>
      <c r="K90" s="9">
        <v>0.16289999999999999</v>
      </c>
      <c r="L90" s="10">
        <v>3.1</v>
      </c>
    </row>
    <row r="91" spans="1:12" ht="15" customHeight="1" x14ac:dyDescent="0.35">
      <c r="A91" s="4" t="s">
        <v>143</v>
      </c>
      <c r="B91" s="5">
        <v>45930.235294120372</v>
      </c>
      <c r="C91" s="4" t="s">
        <v>63</v>
      </c>
      <c r="D91" s="4" t="s">
        <v>43</v>
      </c>
      <c r="E91" s="4" t="s">
        <v>48</v>
      </c>
      <c r="F91" s="6">
        <v>5993.95</v>
      </c>
      <c r="G91" s="4">
        <v>9</v>
      </c>
      <c r="H91" s="7">
        <v>10</v>
      </c>
      <c r="I91" s="8">
        <f t="shared" si="4"/>
        <v>48551</v>
      </c>
      <c r="J91" s="8">
        <f t="shared" si="5"/>
        <v>7952.65</v>
      </c>
      <c r="K91" s="9">
        <v>0.1638</v>
      </c>
      <c r="L91" s="10">
        <v>2.5</v>
      </c>
    </row>
    <row r="92" spans="1:12" ht="15" customHeight="1" x14ac:dyDescent="0.35">
      <c r="A92" s="4" t="s">
        <v>144</v>
      </c>
      <c r="B92" s="5">
        <v>45933.294117650461</v>
      </c>
      <c r="C92" s="4" t="s">
        <v>56</v>
      </c>
      <c r="D92" s="4" t="s">
        <v>39</v>
      </c>
      <c r="E92" s="4" t="s">
        <v>58</v>
      </c>
      <c r="F92" s="6">
        <v>2798.63</v>
      </c>
      <c r="G92" s="4">
        <v>1</v>
      </c>
      <c r="H92" s="7">
        <v>5</v>
      </c>
      <c r="I92" s="8">
        <f t="shared" si="4"/>
        <v>2658.7</v>
      </c>
      <c r="J92" s="8">
        <f t="shared" si="5"/>
        <v>723.7</v>
      </c>
      <c r="K92" s="9">
        <v>0.2722</v>
      </c>
      <c r="L92" s="10">
        <v>3.9</v>
      </c>
    </row>
    <row r="93" spans="1:12" ht="15" customHeight="1" x14ac:dyDescent="0.35">
      <c r="A93" s="4" t="s">
        <v>145</v>
      </c>
      <c r="B93" s="5">
        <v>45936.352941180558</v>
      </c>
      <c r="C93" s="4" t="s">
        <v>34</v>
      </c>
      <c r="D93" s="4" t="s">
        <v>43</v>
      </c>
      <c r="E93" s="4" t="s">
        <v>61</v>
      </c>
      <c r="F93" s="6">
        <v>4153.2299999999996</v>
      </c>
      <c r="G93" s="4">
        <v>7</v>
      </c>
      <c r="H93" s="7">
        <v>10</v>
      </c>
      <c r="I93" s="8">
        <f t="shared" si="4"/>
        <v>26165.35</v>
      </c>
      <c r="J93" s="8">
        <f t="shared" si="5"/>
        <v>6279.68</v>
      </c>
      <c r="K93" s="9">
        <v>0.24</v>
      </c>
      <c r="L93" s="10">
        <v>3.4</v>
      </c>
    </row>
    <row r="94" spans="1:12" ht="15" customHeight="1" x14ac:dyDescent="0.35">
      <c r="A94" s="4" t="s">
        <v>146</v>
      </c>
      <c r="B94" s="5">
        <v>45939.411764710647</v>
      </c>
      <c r="C94" s="4" t="s">
        <v>38</v>
      </c>
      <c r="D94" s="4" t="s">
        <v>39</v>
      </c>
      <c r="E94" s="4" t="s">
        <v>52</v>
      </c>
      <c r="F94" s="6">
        <v>5299.83</v>
      </c>
      <c r="G94" s="4">
        <v>3</v>
      </c>
      <c r="H94" s="7">
        <v>0</v>
      </c>
      <c r="I94" s="8">
        <f t="shared" si="4"/>
        <v>15899.49</v>
      </c>
      <c r="J94" s="8">
        <f t="shared" si="5"/>
        <v>3737.97</v>
      </c>
      <c r="K94" s="9">
        <v>0.2351</v>
      </c>
      <c r="L94" s="10">
        <v>4.8</v>
      </c>
    </row>
    <row r="95" spans="1:12" ht="15" customHeight="1" x14ac:dyDescent="0.35">
      <c r="A95" s="4" t="s">
        <v>147</v>
      </c>
      <c r="B95" s="5">
        <v>45942.470588240743</v>
      </c>
      <c r="C95" s="4" t="s">
        <v>34</v>
      </c>
      <c r="D95" s="4" t="s">
        <v>43</v>
      </c>
      <c r="E95" s="4" t="s">
        <v>46</v>
      </c>
      <c r="F95" s="6">
        <v>1600.39</v>
      </c>
      <c r="G95" s="4">
        <v>7</v>
      </c>
      <c r="H95" s="7">
        <v>20</v>
      </c>
      <c r="I95" s="8">
        <f t="shared" si="4"/>
        <v>8962.18</v>
      </c>
      <c r="J95" s="8">
        <f t="shared" si="5"/>
        <v>1386.45</v>
      </c>
      <c r="K95" s="9">
        <v>0.1547</v>
      </c>
      <c r="L95" s="10">
        <v>2.5</v>
      </c>
    </row>
    <row r="96" spans="1:12" ht="15" customHeight="1" x14ac:dyDescent="0.35">
      <c r="A96" s="4" t="s">
        <v>148</v>
      </c>
      <c r="B96" s="5">
        <v>45945.529411759257</v>
      </c>
      <c r="C96" s="4" t="s">
        <v>50</v>
      </c>
      <c r="D96" s="4" t="s">
        <v>35</v>
      </c>
      <c r="E96" s="4" t="s">
        <v>75</v>
      </c>
      <c r="F96" s="6">
        <v>365.46</v>
      </c>
      <c r="G96" s="4">
        <v>2</v>
      </c>
      <c r="H96" s="7">
        <v>15</v>
      </c>
      <c r="I96" s="8">
        <f t="shared" si="4"/>
        <v>621.28</v>
      </c>
      <c r="J96" s="8">
        <f t="shared" si="5"/>
        <v>100.4</v>
      </c>
      <c r="K96" s="9">
        <v>0.16159999999999999</v>
      </c>
      <c r="L96" s="10">
        <v>3.1</v>
      </c>
    </row>
    <row r="97" spans="1:12" ht="15" customHeight="1" x14ac:dyDescent="0.35">
      <c r="A97" s="4" t="s">
        <v>149</v>
      </c>
      <c r="B97" s="5">
        <v>45948.588235289353</v>
      </c>
      <c r="C97" s="4" t="s">
        <v>63</v>
      </c>
      <c r="D97" s="4" t="s">
        <v>43</v>
      </c>
      <c r="E97" s="4" t="s">
        <v>61</v>
      </c>
      <c r="F97" s="6">
        <v>5339.51</v>
      </c>
      <c r="G97" s="4">
        <v>1</v>
      </c>
      <c r="H97" s="7">
        <v>10</v>
      </c>
      <c r="I97" s="8">
        <f t="shared" si="4"/>
        <v>4805.5600000000004</v>
      </c>
      <c r="J97" s="8">
        <f t="shared" si="5"/>
        <v>1077.4100000000001</v>
      </c>
      <c r="K97" s="9">
        <v>0.22420000000000001</v>
      </c>
      <c r="L97" s="10">
        <v>4.2</v>
      </c>
    </row>
    <row r="98" spans="1:12" ht="15" customHeight="1" x14ac:dyDescent="0.35">
      <c r="A98" s="4" t="s">
        <v>150</v>
      </c>
      <c r="B98" s="5">
        <v>45951.647058819442</v>
      </c>
      <c r="C98" s="4" t="s">
        <v>63</v>
      </c>
      <c r="D98" s="4" t="s">
        <v>39</v>
      </c>
      <c r="E98" s="4" t="s">
        <v>64</v>
      </c>
      <c r="F98" s="6">
        <v>5143.0200000000004</v>
      </c>
      <c r="G98" s="4">
        <v>4</v>
      </c>
      <c r="H98" s="7">
        <v>10</v>
      </c>
      <c r="I98" s="8">
        <f t="shared" ref="I98:I121" si="6">ROUND(F98*G98*(1-H98/100),2)</f>
        <v>18514.87</v>
      </c>
      <c r="J98" s="8">
        <f t="shared" ref="J98:J121" si="7">ROUND(I98*K98,2)</f>
        <v>2240.3000000000002</v>
      </c>
      <c r="K98" s="9">
        <v>0.121</v>
      </c>
      <c r="L98" s="10">
        <v>4.3</v>
      </c>
    </row>
    <row r="99" spans="1:12" ht="15" customHeight="1" x14ac:dyDescent="0.35">
      <c r="A99" s="4" t="s">
        <v>151</v>
      </c>
      <c r="B99" s="5">
        <v>45954.705882349539</v>
      </c>
      <c r="C99" s="4" t="s">
        <v>50</v>
      </c>
      <c r="D99" s="4" t="s">
        <v>39</v>
      </c>
      <c r="E99" s="4" t="s">
        <v>58</v>
      </c>
      <c r="F99" s="6">
        <v>6906.52</v>
      </c>
      <c r="G99" s="4">
        <v>2</v>
      </c>
      <c r="H99" s="7">
        <v>15</v>
      </c>
      <c r="I99" s="8">
        <f t="shared" si="6"/>
        <v>11741.08</v>
      </c>
      <c r="J99" s="8">
        <f t="shared" si="7"/>
        <v>2858.95</v>
      </c>
      <c r="K99" s="9">
        <v>0.24349999999999999</v>
      </c>
      <c r="L99" s="10">
        <v>3.8</v>
      </c>
    </row>
    <row r="100" spans="1:12" ht="15" customHeight="1" x14ac:dyDescent="0.35">
      <c r="A100" s="4" t="s">
        <v>152</v>
      </c>
      <c r="B100" s="5">
        <v>45957.764705879628</v>
      </c>
      <c r="C100" s="4" t="s">
        <v>34</v>
      </c>
      <c r="D100" s="4" t="s">
        <v>39</v>
      </c>
      <c r="E100" s="4" t="s">
        <v>58</v>
      </c>
      <c r="F100" s="6">
        <v>3533.79</v>
      </c>
      <c r="G100" s="4">
        <v>5</v>
      </c>
      <c r="H100" s="7">
        <v>5</v>
      </c>
      <c r="I100" s="8">
        <f t="shared" si="6"/>
        <v>16785.5</v>
      </c>
      <c r="J100" s="8">
        <f t="shared" si="7"/>
        <v>3941.24</v>
      </c>
      <c r="K100" s="9">
        <v>0.23480000000000001</v>
      </c>
      <c r="L100" s="10">
        <v>4.5</v>
      </c>
    </row>
    <row r="101" spans="1:12" ht="15" customHeight="1" x14ac:dyDescent="0.35">
      <c r="A101" s="4" t="s">
        <v>153</v>
      </c>
      <c r="B101" s="5">
        <v>45960.823529409718</v>
      </c>
      <c r="C101" s="4" t="s">
        <v>63</v>
      </c>
      <c r="D101" s="4" t="s">
        <v>35</v>
      </c>
      <c r="E101" s="4" t="s">
        <v>75</v>
      </c>
      <c r="F101" s="6">
        <v>1061.82</v>
      </c>
      <c r="G101" s="4">
        <v>7</v>
      </c>
      <c r="H101" s="7">
        <v>15</v>
      </c>
      <c r="I101" s="8">
        <f t="shared" si="6"/>
        <v>6317.83</v>
      </c>
      <c r="J101" s="8">
        <f t="shared" si="7"/>
        <v>1042.44</v>
      </c>
      <c r="K101" s="9">
        <v>0.16500000000000001</v>
      </c>
      <c r="L101" s="10">
        <v>3.8</v>
      </c>
    </row>
    <row r="102" spans="1:12" ht="15" customHeight="1" x14ac:dyDescent="0.35">
      <c r="A102" s="4" t="s">
        <v>154</v>
      </c>
      <c r="B102" s="5">
        <v>45963.882352939807</v>
      </c>
      <c r="C102" s="4" t="s">
        <v>63</v>
      </c>
      <c r="D102" s="4" t="s">
        <v>43</v>
      </c>
      <c r="E102" s="4" t="s">
        <v>44</v>
      </c>
      <c r="F102" s="6">
        <v>4374.17</v>
      </c>
      <c r="G102" s="4">
        <v>6</v>
      </c>
      <c r="H102" s="7">
        <v>10</v>
      </c>
      <c r="I102" s="8">
        <f t="shared" si="6"/>
        <v>23620.52</v>
      </c>
      <c r="J102" s="8">
        <f t="shared" si="7"/>
        <v>3880.85</v>
      </c>
      <c r="K102" s="9">
        <v>0.1643</v>
      </c>
      <c r="L102" s="10">
        <v>4.5999999999999996</v>
      </c>
    </row>
    <row r="103" spans="1:12" ht="15" customHeight="1" x14ac:dyDescent="0.35">
      <c r="A103" s="4" t="s">
        <v>155</v>
      </c>
      <c r="B103" s="5">
        <v>45966.941176469911</v>
      </c>
      <c r="C103" s="4" t="s">
        <v>38</v>
      </c>
      <c r="D103" s="4" t="s">
        <v>35</v>
      </c>
      <c r="E103" s="4" t="s">
        <v>54</v>
      </c>
      <c r="F103" s="6">
        <v>214.2</v>
      </c>
      <c r="G103" s="4">
        <v>5</v>
      </c>
      <c r="H103" s="7">
        <v>10</v>
      </c>
      <c r="I103" s="8">
        <f t="shared" si="6"/>
        <v>963.9</v>
      </c>
      <c r="J103" s="8">
        <f t="shared" si="7"/>
        <v>237.12</v>
      </c>
      <c r="K103" s="9">
        <v>0.246</v>
      </c>
      <c r="L103" s="10">
        <v>4.5999999999999996</v>
      </c>
    </row>
    <row r="104" spans="1:12" ht="15" customHeight="1" x14ac:dyDescent="0.35">
      <c r="A104" s="4" t="s">
        <v>156</v>
      </c>
      <c r="B104" s="5">
        <v>45970</v>
      </c>
      <c r="C104" s="4" t="s">
        <v>42</v>
      </c>
      <c r="D104" s="4" t="s">
        <v>39</v>
      </c>
      <c r="E104" s="4" t="s">
        <v>52</v>
      </c>
      <c r="F104" s="6">
        <v>2698.52</v>
      </c>
      <c r="G104" s="4">
        <v>2</v>
      </c>
      <c r="H104" s="7">
        <v>10</v>
      </c>
      <c r="I104" s="8">
        <f t="shared" si="6"/>
        <v>4857.34</v>
      </c>
      <c r="J104" s="8">
        <f t="shared" si="7"/>
        <v>1034.6099999999999</v>
      </c>
      <c r="K104" s="9">
        <v>0.21299999999999999</v>
      </c>
      <c r="L104" s="10">
        <v>3</v>
      </c>
    </row>
    <row r="105" spans="1:12" ht="15" customHeight="1" x14ac:dyDescent="0.35">
      <c r="A105" s="4" t="s">
        <v>157</v>
      </c>
      <c r="B105" s="5">
        <v>45973.058823530089</v>
      </c>
      <c r="C105" s="4" t="s">
        <v>50</v>
      </c>
      <c r="D105" s="4" t="s">
        <v>43</v>
      </c>
      <c r="E105" s="4" t="s">
        <v>46</v>
      </c>
      <c r="F105" s="6">
        <v>4980.59</v>
      </c>
      <c r="G105" s="4">
        <v>4</v>
      </c>
      <c r="H105" s="7">
        <v>15</v>
      </c>
      <c r="I105" s="8">
        <f t="shared" si="6"/>
        <v>16934.009999999998</v>
      </c>
      <c r="J105" s="8">
        <f t="shared" si="7"/>
        <v>1585.02</v>
      </c>
      <c r="K105" s="9">
        <v>9.3600000000000003E-2</v>
      </c>
      <c r="L105" s="10">
        <v>3.3</v>
      </c>
    </row>
    <row r="106" spans="1:12" ht="15" customHeight="1" x14ac:dyDescent="0.35">
      <c r="A106" s="4" t="s">
        <v>158</v>
      </c>
      <c r="B106" s="5">
        <v>45976.117647060193</v>
      </c>
      <c r="C106" s="4" t="s">
        <v>63</v>
      </c>
      <c r="D106" s="4" t="s">
        <v>39</v>
      </c>
      <c r="E106" s="4" t="s">
        <v>40</v>
      </c>
      <c r="F106" s="6">
        <v>7391.7</v>
      </c>
      <c r="G106" s="4">
        <v>6</v>
      </c>
      <c r="H106" s="7">
        <v>10</v>
      </c>
      <c r="I106" s="8">
        <f t="shared" si="6"/>
        <v>39915.18</v>
      </c>
      <c r="J106" s="8">
        <f t="shared" si="7"/>
        <v>8489.9599999999991</v>
      </c>
      <c r="K106" s="9">
        <v>0.2127</v>
      </c>
      <c r="L106" s="10">
        <v>4.0999999999999996</v>
      </c>
    </row>
    <row r="107" spans="1:12" ht="15" customHeight="1" x14ac:dyDescent="0.35">
      <c r="A107" s="4" t="s">
        <v>159</v>
      </c>
      <c r="B107" s="5">
        <v>45979.176470590282</v>
      </c>
      <c r="C107" s="4" t="s">
        <v>56</v>
      </c>
      <c r="D107" s="4" t="s">
        <v>39</v>
      </c>
      <c r="E107" s="4" t="s">
        <v>58</v>
      </c>
      <c r="F107" s="6">
        <v>2688.3</v>
      </c>
      <c r="G107" s="4">
        <v>2</v>
      </c>
      <c r="H107" s="7">
        <v>10</v>
      </c>
      <c r="I107" s="8">
        <f t="shared" si="6"/>
        <v>4838.9399999999996</v>
      </c>
      <c r="J107" s="8">
        <f t="shared" si="7"/>
        <v>845.85</v>
      </c>
      <c r="K107" s="9">
        <v>0.17480000000000001</v>
      </c>
      <c r="L107" s="10">
        <v>4.0999999999999996</v>
      </c>
    </row>
    <row r="108" spans="1:12" ht="15" customHeight="1" x14ac:dyDescent="0.35">
      <c r="A108" s="4" t="s">
        <v>160</v>
      </c>
      <c r="B108" s="5">
        <v>45982.235294120372</v>
      </c>
      <c r="C108" s="4" t="s">
        <v>56</v>
      </c>
      <c r="D108" s="4" t="s">
        <v>39</v>
      </c>
      <c r="E108" s="4" t="s">
        <v>52</v>
      </c>
      <c r="F108" s="6">
        <v>3772.11</v>
      </c>
      <c r="G108" s="4">
        <v>9</v>
      </c>
      <c r="H108" s="7">
        <v>5</v>
      </c>
      <c r="I108" s="8">
        <f t="shared" si="6"/>
        <v>32251.54</v>
      </c>
      <c r="J108" s="8">
        <f t="shared" si="7"/>
        <v>7862.93</v>
      </c>
      <c r="K108" s="9">
        <v>0.24379999999999999</v>
      </c>
      <c r="L108" s="10">
        <v>4.3</v>
      </c>
    </row>
    <row r="109" spans="1:12" ht="15" customHeight="1" x14ac:dyDescent="0.35">
      <c r="A109" s="4" t="s">
        <v>161</v>
      </c>
      <c r="B109" s="5">
        <v>45985.294117650461</v>
      </c>
      <c r="C109" s="4" t="s">
        <v>38</v>
      </c>
      <c r="D109" s="4" t="s">
        <v>39</v>
      </c>
      <c r="E109" s="4" t="s">
        <v>40</v>
      </c>
      <c r="F109" s="6">
        <v>3399.01</v>
      </c>
      <c r="G109" s="4">
        <v>1</v>
      </c>
      <c r="H109" s="7">
        <v>20</v>
      </c>
      <c r="I109" s="8">
        <f t="shared" si="6"/>
        <v>2719.21</v>
      </c>
      <c r="J109" s="8">
        <f t="shared" si="7"/>
        <v>460.09</v>
      </c>
      <c r="K109" s="9">
        <v>0.16919999999999999</v>
      </c>
      <c r="L109" s="10">
        <v>4.5</v>
      </c>
    </row>
    <row r="110" spans="1:12" ht="15" customHeight="1" x14ac:dyDescent="0.35">
      <c r="A110" s="4" t="s">
        <v>162</v>
      </c>
      <c r="B110" s="5">
        <v>45988.352941180558</v>
      </c>
      <c r="C110" s="4" t="s">
        <v>34</v>
      </c>
      <c r="D110" s="4" t="s">
        <v>43</v>
      </c>
      <c r="E110" s="4" t="s">
        <v>61</v>
      </c>
      <c r="F110" s="6">
        <v>4405.91</v>
      </c>
      <c r="G110" s="4">
        <v>5</v>
      </c>
      <c r="H110" s="7">
        <v>10</v>
      </c>
      <c r="I110" s="8">
        <f t="shared" si="6"/>
        <v>19826.599999999999</v>
      </c>
      <c r="J110" s="8">
        <f t="shared" si="7"/>
        <v>4952.68</v>
      </c>
      <c r="K110" s="9">
        <v>0.24979999999999999</v>
      </c>
      <c r="L110" s="10">
        <v>4</v>
      </c>
    </row>
    <row r="111" spans="1:12" ht="15" customHeight="1" x14ac:dyDescent="0.35">
      <c r="A111" s="4" t="s">
        <v>163</v>
      </c>
      <c r="B111" s="5">
        <v>45991.411764710647</v>
      </c>
      <c r="C111" s="4" t="s">
        <v>63</v>
      </c>
      <c r="D111" s="4" t="s">
        <v>35</v>
      </c>
      <c r="E111" s="4" t="s">
        <v>54</v>
      </c>
      <c r="F111" s="6">
        <v>1100.05</v>
      </c>
      <c r="G111" s="4">
        <v>1</v>
      </c>
      <c r="H111" s="7">
        <v>5</v>
      </c>
      <c r="I111" s="8">
        <f t="shared" si="6"/>
        <v>1045.05</v>
      </c>
      <c r="J111" s="8">
        <f t="shared" si="7"/>
        <v>202.32</v>
      </c>
      <c r="K111" s="9">
        <v>0.19359999999999999</v>
      </c>
      <c r="L111" s="10">
        <v>3.1</v>
      </c>
    </row>
    <row r="112" spans="1:12" ht="15" customHeight="1" x14ac:dyDescent="0.35">
      <c r="A112" s="4" t="s">
        <v>164</v>
      </c>
      <c r="B112" s="5">
        <v>45994.470588240743</v>
      </c>
      <c r="C112" s="4" t="s">
        <v>50</v>
      </c>
      <c r="D112" s="4" t="s">
        <v>39</v>
      </c>
      <c r="E112" s="4" t="s">
        <v>58</v>
      </c>
      <c r="F112" s="6">
        <v>5821.43</v>
      </c>
      <c r="G112" s="4">
        <v>2</v>
      </c>
      <c r="H112" s="7">
        <v>10</v>
      </c>
      <c r="I112" s="8">
        <f t="shared" si="6"/>
        <v>10478.57</v>
      </c>
      <c r="J112" s="8">
        <f t="shared" si="7"/>
        <v>2505.4299999999998</v>
      </c>
      <c r="K112" s="9">
        <v>0.23910000000000001</v>
      </c>
      <c r="L112" s="10">
        <v>4.7</v>
      </c>
    </row>
    <row r="113" spans="1:12" ht="15" customHeight="1" x14ac:dyDescent="0.35">
      <c r="A113" s="4" t="s">
        <v>165</v>
      </c>
      <c r="B113" s="5">
        <v>45997.529411759257</v>
      </c>
      <c r="C113" s="4" t="s">
        <v>56</v>
      </c>
      <c r="D113" s="4" t="s">
        <v>43</v>
      </c>
      <c r="E113" s="4" t="s">
        <v>61</v>
      </c>
      <c r="F113" s="6">
        <v>1399.29</v>
      </c>
      <c r="G113" s="4">
        <v>5</v>
      </c>
      <c r="H113" s="7">
        <v>10</v>
      </c>
      <c r="I113" s="8">
        <f t="shared" si="6"/>
        <v>6296.81</v>
      </c>
      <c r="J113" s="8">
        <f t="shared" si="7"/>
        <v>1059.1199999999999</v>
      </c>
      <c r="K113" s="9">
        <v>0.16819999999999999</v>
      </c>
      <c r="L113" s="10">
        <v>2.5</v>
      </c>
    </row>
    <row r="114" spans="1:12" ht="15" customHeight="1" x14ac:dyDescent="0.35">
      <c r="A114" s="4" t="s">
        <v>166</v>
      </c>
      <c r="B114" s="5">
        <v>46000.588235289353</v>
      </c>
      <c r="C114" s="4" t="s">
        <v>34</v>
      </c>
      <c r="D114" s="4" t="s">
        <v>43</v>
      </c>
      <c r="E114" s="4" t="s">
        <v>61</v>
      </c>
      <c r="F114" s="6">
        <v>5286.19</v>
      </c>
      <c r="G114" s="4">
        <v>2</v>
      </c>
      <c r="H114" s="7">
        <v>10</v>
      </c>
      <c r="I114" s="8">
        <f t="shared" si="6"/>
        <v>9515.14</v>
      </c>
      <c r="J114" s="8">
        <f t="shared" si="7"/>
        <v>1573.8</v>
      </c>
      <c r="K114" s="9">
        <v>0.16539999999999999</v>
      </c>
      <c r="L114" s="10">
        <v>3.9</v>
      </c>
    </row>
    <row r="115" spans="1:12" ht="15" customHeight="1" x14ac:dyDescent="0.35">
      <c r="A115" s="4" t="s">
        <v>167</v>
      </c>
      <c r="B115" s="5">
        <v>46003.647058819442</v>
      </c>
      <c r="C115" s="4" t="s">
        <v>63</v>
      </c>
      <c r="D115" s="4" t="s">
        <v>35</v>
      </c>
      <c r="E115" s="4" t="s">
        <v>75</v>
      </c>
      <c r="F115" s="6">
        <v>752.74</v>
      </c>
      <c r="G115" s="4">
        <v>3</v>
      </c>
      <c r="H115" s="7">
        <v>0</v>
      </c>
      <c r="I115" s="8">
        <f t="shared" si="6"/>
        <v>2258.2199999999998</v>
      </c>
      <c r="J115" s="8">
        <f t="shared" si="7"/>
        <v>184.95</v>
      </c>
      <c r="K115" s="9">
        <v>8.1900000000000001E-2</v>
      </c>
      <c r="L115" s="10">
        <v>4.5</v>
      </c>
    </row>
    <row r="116" spans="1:12" ht="15" customHeight="1" x14ac:dyDescent="0.35">
      <c r="A116" s="4" t="s">
        <v>168</v>
      </c>
      <c r="B116" s="5">
        <v>46006.705882349539</v>
      </c>
      <c r="C116" s="4" t="s">
        <v>42</v>
      </c>
      <c r="D116" s="4" t="s">
        <v>35</v>
      </c>
      <c r="E116" s="4" t="s">
        <v>54</v>
      </c>
      <c r="F116" s="6">
        <v>1087.29</v>
      </c>
      <c r="G116" s="4">
        <v>9</v>
      </c>
      <c r="H116" s="7">
        <v>15</v>
      </c>
      <c r="I116" s="8">
        <f t="shared" si="6"/>
        <v>8317.77</v>
      </c>
      <c r="J116" s="8">
        <f t="shared" si="7"/>
        <v>1360.79</v>
      </c>
      <c r="K116" s="9">
        <v>0.1636</v>
      </c>
      <c r="L116" s="10">
        <v>4.9000000000000004</v>
      </c>
    </row>
    <row r="117" spans="1:12" ht="15" customHeight="1" x14ac:dyDescent="0.35">
      <c r="A117" s="4" t="s">
        <v>169</v>
      </c>
      <c r="B117" s="5">
        <v>46009.764705879628</v>
      </c>
      <c r="C117" s="4" t="s">
        <v>38</v>
      </c>
      <c r="D117" s="4" t="s">
        <v>39</v>
      </c>
      <c r="E117" s="4" t="s">
        <v>52</v>
      </c>
      <c r="F117" s="6">
        <v>3353.28</v>
      </c>
      <c r="G117" s="4">
        <v>5</v>
      </c>
      <c r="H117" s="7">
        <v>0</v>
      </c>
      <c r="I117" s="8">
        <f t="shared" si="6"/>
        <v>16766.400000000001</v>
      </c>
      <c r="J117" s="8">
        <f t="shared" si="7"/>
        <v>1401.67</v>
      </c>
      <c r="K117" s="9">
        <v>8.3599999999999994E-2</v>
      </c>
      <c r="L117" s="10">
        <v>3.7</v>
      </c>
    </row>
    <row r="118" spans="1:12" ht="15" customHeight="1" x14ac:dyDescent="0.35">
      <c r="A118" s="4" t="s">
        <v>170</v>
      </c>
      <c r="B118" s="5">
        <v>46012.823529409718</v>
      </c>
      <c r="C118" s="4" t="s">
        <v>38</v>
      </c>
      <c r="D118" s="4" t="s">
        <v>39</v>
      </c>
      <c r="E118" s="4" t="s">
        <v>58</v>
      </c>
      <c r="F118" s="6">
        <v>3567.15</v>
      </c>
      <c r="G118" s="4">
        <v>10</v>
      </c>
      <c r="H118" s="7">
        <v>15</v>
      </c>
      <c r="I118" s="8">
        <f t="shared" si="6"/>
        <v>30320.78</v>
      </c>
      <c r="J118" s="8">
        <f t="shared" si="7"/>
        <v>3996.28</v>
      </c>
      <c r="K118" s="9">
        <v>0.1318</v>
      </c>
      <c r="L118" s="10">
        <v>4.2</v>
      </c>
    </row>
    <row r="119" spans="1:12" ht="15" customHeight="1" x14ac:dyDescent="0.35">
      <c r="A119" s="4" t="s">
        <v>171</v>
      </c>
      <c r="B119" s="5">
        <v>46015.882352939807</v>
      </c>
      <c r="C119" s="4" t="s">
        <v>38</v>
      </c>
      <c r="D119" s="4" t="s">
        <v>43</v>
      </c>
      <c r="E119" s="4" t="s">
        <v>46</v>
      </c>
      <c r="F119" s="6">
        <v>1668.8</v>
      </c>
      <c r="G119" s="4">
        <v>8</v>
      </c>
      <c r="H119" s="7">
        <v>20</v>
      </c>
      <c r="I119" s="8">
        <f t="shared" si="6"/>
        <v>10680.32</v>
      </c>
      <c r="J119" s="8">
        <f t="shared" si="7"/>
        <v>2241.8000000000002</v>
      </c>
      <c r="K119" s="9">
        <v>0.2099</v>
      </c>
      <c r="L119" s="10">
        <v>4</v>
      </c>
    </row>
    <row r="120" spans="1:12" ht="15" customHeight="1" x14ac:dyDescent="0.35">
      <c r="A120" s="4" t="s">
        <v>172</v>
      </c>
      <c r="B120" s="5">
        <v>46018.941176469911</v>
      </c>
      <c r="C120" s="4" t="s">
        <v>42</v>
      </c>
      <c r="D120" s="4" t="s">
        <v>35</v>
      </c>
      <c r="E120" s="4" t="s">
        <v>75</v>
      </c>
      <c r="F120" s="6">
        <v>474.82</v>
      </c>
      <c r="G120" s="4">
        <v>1</v>
      </c>
      <c r="H120" s="7">
        <v>20</v>
      </c>
      <c r="I120" s="8">
        <f t="shared" si="6"/>
        <v>379.86</v>
      </c>
      <c r="J120" s="8">
        <f t="shared" si="7"/>
        <v>93.14</v>
      </c>
      <c r="K120" s="9">
        <v>0.2452</v>
      </c>
      <c r="L120" s="10">
        <v>4.3</v>
      </c>
    </row>
    <row r="121" spans="1:12" ht="15" customHeight="1" x14ac:dyDescent="0.35">
      <c r="A121" s="4" t="s">
        <v>173</v>
      </c>
      <c r="B121" s="5">
        <v>46022</v>
      </c>
      <c r="C121" s="4" t="s">
        <v>56</v>
      </c>
      <c r="D121" s="4" t="s">
        <v>43</v>
      </c>
      <c r="E121" s="4" t="s">
        <v>61</v>
      </c>
      <c r="F121" s="6">
        <v>1708.59</v>
      </c>
      <c r="G121" s="4">
        <v>2</v>
      </c>
      <c r="H121" s="7">
        <v>10</v>
      </c>
      <c r="I121" s="8">
        <f t="shared" si="6"/>
        <v>3075.46</v>
      </c>
      <c r="J121" s="8">
        <f t="shared" si="7"/>
        <v>858.98</v>
      </c>
      <c r="K121" s="9">
        <v>0.27929999999999999</v>
      </c>
      <c r="L121" s="10">
        <v>4.7</v>
      </c>
    </row>
    <row r="123" spans="1:12" ht="15" customHeight="1" x14ac:dyDescent="0.35">
      <c r="A123" t="s">
        <v>174</v>
      </c>
      <c r="B123" t="s">
        <v>175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5" customHeight="1" x14ac:dyDescent="0.35"/>
  <cols>
    <col min="1" max="1" width="17" customWidth="1"/>
    <col min="2" max="7" width="12" customWidth="1"/>
  </cols>
  <sheetData>
    <row r="1" spans="1:7" ht="15" customHeight="1" x14ac:dyDescent="0.35">
      <c r="A1" s="3" t="s">
        <v>176</v>
      </c>
      <c r="B1" s="3" t="s">
        <v>177</v>
      </c>
      <c r="C1" s="3" t="s">
        <v>178</v>
      </c>
      <c r="D1" s="3" t="s">
        <v>179</v>
      </c>
      <c r="E1" s="3" t="s">
        <v>180</v>
      </c>
      <c r="F1" s="3" t="s">
        <v>181</v>
      </c>
      <c r="G1" s="3" t="s">
        <v>182</v>
      </c>
    </row>
    <row r="2" spans="1:7" ht="15" customHeight="1" x14ac:dyDescent="0.35">
      <c r="A2" s="4" t="s">
        <v>27</v>
      </c>
      <c r="B2" s="4">
        <f>COUNT(Dataset!G2:G121)</f>
        <v>120</v>
      </c>
      <c r="C2" s="11">
        <f>AVERAGE(Dataset!G2:G121)</f>
        <v>5.1083333333333334</v>
      </c>
      <c r="D2" s="11">
        <f>MEDIAN(Dataset!G2:G121)</f>
        <v>5</v>
      </c>
      <c r="E2" s="11">
        <f>MIN(Dataset!G2:G121)</f>
        <v>1</v>
      </c>
      <c r="F2" s="11">
        <f>MAX(Dataset!G2:G121)</f>
        <v>10</v>
      </c>
      <c r="G2" s="11">
        <f>STDEV(Dataset!G2:G121)</f>
        <v>2.9299836043173739</v>
      </c>
    </row>
    <row r="3" spans="1:7" ht="15" customHeight="1" x14ac:dyDescent="0.35">
      <c r="A3" s="4" t="s">
        <v>28</v>
      </c>
      <c r="B3" s="4">
        <f>COUNT(Dataset!H2:H121)</f>
        <v>120</v>
      </c>
      <c r="C3" s="11">
        <f>AVERAGE(Dataset!H2:H121)</f>
        <v>8.8333333333333339</v>
      </c>
      <c r="D3" s="11">
        <f>MEDIAN(Dataset!H2:H121)</f>
        <v>10</v>
      </c>
      <c r="E3" s="11">
        <f>MIN(Dataset!H2:H121)</f>
        <v>0</v>
      </c>
      <c r="F3" s="11">
        <f>MAX(Dataset!H2:H121)</f>
        <v>20</v>
      </c>
      <c r="G3" s="11">
        <f>STDEV(Dataset!H2:H121)</f>
        <v>5.9314477852486949</v>
      </c>
    </row>
    <row r="4" spans="1:7" ht="15" customHeight="1" x14ac:dyDescent="0.35">
      <c r="A4" s="4" t="s">
        <v>29</v>
      </c>
      <c r="B4" s="4">
        <f>COUNT(Dataset!I2:I121)</f>
        <v>120</v>
      </c>
      <c r="C4" s="11">
        <f>AVERAGE(Dataset!I2:I121)</f>
        <v>14574.491833333333</v>
      </c>
      <c r="D4" s="11">
        <f>MEDIAN(Dataset!I2:I121)</f>
        <v>9610.130000000001</v>
      </c>
      <c r="E4" s="11">
        <f>MIN(Dataset!I2:I121)</f>
        <v>162.6</v>
      </c>
      <c r="F4" s="11">
        <f>MAX(Dataset!I2:I121)</f>
        <v>56706.03</v>
      </c>
      <c r="G4" s="11">
        <f>STDEV(Dataset!I2:I121)</f>
        <v>13341.760946526909</v>
      </c>
    </row>
    <row r="5" spans="1:7" ht="15" customHeight="1" x14ac:dyDescent="0.35">
      <c r="A5" s="4" t="s">
        <v>30</v>
      </c>
      <c r="B5" s="4">
        <f>COUNT(Dataset!J2:J121)</f>
        <v>120</v>
      </c>
      <c r="C5" s="11">
        <f>AVERAGE(Dataset!J2:J121)</f>
        <v>2832.520583333333</v>
      </c>
      <c r="D5" s="11">
        <f>MEDIAN(Dataset!J2:J121)</f>
        <v>1520.62</v>
      </c>
      <c r="E5" s="11">
        <f>MIN(Dataset!J2:J121)</f>
        <v>15.46</v>
      </c>
      <c r="F5" s="11">
        <f>MAX(Dataset!J2:J121)</f>
        <v>13082.51</v>
      </c>
      <c r="G5" s="11">
        <f>STDEV(Dataset!J2:J121)</f>
        <v>2765.8514290012149</v>
      </c>
    </row>
    <row r="6" spans="1:7" ht="15" customHeight="1" x14ac:dyDescent="0.35">
      <c r="A6" s="4" t="s">
        <v>32</v>
      </c>
      <c r="B6" s="4">
        <f>COUNT(Dataset!L2:L121)</f>
        <v>120</v>
      </c>
      <c r="C6" s="11">
        <f>AVERAGE(Dataset!L2:L121)</f>
        <v>3.9250000000000003</v>
      </c>
      <c r="D6" s="11">
        <f>MEDIAN(Dataset!L2:L121)</f>
        <v>4</v>
      </c>
      <c r="E6" s="11">
        <f>MIN(Dataset!L2:L121)</f>
        <v>2.5</v>
      </c>
      <c r="F6" s="11">
        <f>MAX(Dataset!L2:L121)</f>
        <v>5</v>
      </c>
      <c r="G6" s="11">
        <f>STDEV(Dataset!L2:L121)</f>
        <v>0.55869746477217275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5" customHeight="1" x14ac:dyDescent="0.35"/>
  <cols>
    <col min="1" max="4" width="12" customWidth="1"/>
    <col min="5" max="6" width="13" customWidth="1"/>
    <col min="7" max="7" width="15" customWidth="1"/>
  </cols>
  <sheetData>
    <row r="1" spans="1:7" ht="15" customHeight="1" x14ac:dyDescent="0.35">
      <c r="A1" s="3" t="s">
        <v>183</v>
      </c>
      <c r="B1" s="3" t="s">
        <v>184</v>
      </c>
      <c r="C1" s="3" t="s">
        <v>185</v>
      </c>
      <c r="D1" s="3" t="s">
        <v>186</v>
      </c>
      <c r="E1" s="3" t="s">
        <v>187</v>
      </c>
      <c r="F1" s="3" t="s">
        <v>188</v>
      </c>
      <c r="G1" s="3" t="s">
        <v>189</v>
      </c>
    </row>
    <row r="2" spans="1:7" ht="15" customHeight="1" x14ac:dyDescent="0.35">
      <c r="A2" s="4" t="s">
        <v>29</v>
      </c>
      <c r="B2" s="11">
        <f>QUARTILE(Dataset!I2:I121,1)</f>
        <v>4162.2275</v>
      </c>
      <c r="C2" s="11">
        <f>QUARTILE(Dataset!I2:I121,3)</f>
        <v>20138.165000000001</v>
      </c>
      <c r="D2" s="11">
        <f>C2-B2</f>
        <v>15975.9375</v>
      </c>
      <c r="E2" s="11">
        <f>B2-(1.5*D2)</f>
        <v>-19801.678749999999</v>
      </c>
      <c r="F2" s="11">
        <f>C2+(1.5*D2)</f>
        <v>44102.071250000001</v>
      </c>
      <c r="G2" s="4">
        <f>COUNTIF(Dataset!I2:I121,"&gt;"&amp;F2)+COUNTIF(Dataset!I2:I121,"&lt;"&amp;E2)</f>
        <v>5</v>
      </c>
    </row>
    <row r="3" spans="1:7" ht="15" customHeight="1" x14ac:dyDescent="0.35">
      <c r="A3" s="4" t="s">
        <v>30</v>
      </c>
      <c r="B3" s="11">
        <f>QUARTILE(Dataset!J2:J121,1)</f>
        <v>731.06500000000005</v>
      </c>
      <c r="C3" s="11">
        <f>QUARTILE(Dataset!J2:J121,3)</f>
        <v>4379.4675000000007</v>
      </c>
      <c r="D3" s="11">
        <f>C3-B3</f>
        <v>3648.4025000000006</v>
      </c>
      <c r="E3" s="11">
        <f>B3-(1.5*D3)</f>
        <v>-4741.5387500000015</v>
      </c>
      <c r="F3" s="11">
        <f>C3+(1.5*D3)</f>
        <v>9852.0712500000009</v>
      </c>
      <c r="G3" s="4">
        <f>COUNTIF(Dataset!J2:J121,"&gt;"&amp;F3)+COUNTIF(Dataset!J2:J121,"&lt;"&amp;E3)</f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zoomScaleNormal="100" workbookViewId="0">
      <pane ySplit="1" topLeftCell="A2" activePane="bottomLeft" state="frozen"/>
      <selection pane="bottomLeft" activeCell="J18" sqref="J18"/>
    </sheetView>
  </sheetViews>
  <sheetFormatPr defaultColWidth="8.6328125" defaultRowHeight="15" customHeight="1" x14ac:dyDescent="0.35"/>
  <cols>
    <col min="1" max="3" width="12" customWidth="1"/>
    <col min="4" max="4" width="19" customWidth="1"/>
  </cols>
  <sheetData>
    <row r="1" spans="1:4" ht="15" customHeight="1" x14ac:dyDescent="0.35">
      <c r="A1" s="3" t="s">
        <v>21</v>
      </c>
      <c r="B1" s="3" t="s">
        <v>183</v>
      </c>
      <c r="C1" s="3" t="s">
        <v>190</v>
      </c>
      <c r="D1" s="3" t="s">
        <v>191</v>
      </c>
    </row>
    <row r="2" spans="1:4" ht="15" customHeight="1" x14ac:dyDescent="0.35">
      <c r="A2" s="4" t="s">
        <v>45</v>
      </c>
      <c r="B2" s="4" t="s">
        <v>29</v>
      </c>
      <c r="C2" s="8">
        <v>56705.99</v>
      </c>
      <c r="D2" s="4" t="s">
        <v>192</v>
      </c>
    </row>
    <row r="3" spans="1:4" ht="15" customHeight="1" x14ac:dyDescent="0.35">
      <c r="A3" s="4" t="s">
        <v>69</v>
      </c>
      <c r="B3" s="4" t="s">
        <v>29</v>
      </c>
      <c r="C3" s="8">
        <v>46471.86</v>
      </c>
      <c r="D3" s="4" t="s">
        <v>192</v>
      </c>
    </row>
    <row r="4" spans="1:4" ht="15" customHeight="1" x14ac:dyDescent="0.35">
      <c r="A4" s="4" t="s">
        <v>86</v>
      </c>
      <c r="B4" s="4" t="s">
        <v>29</v>
      </c>
      <c r="C4" s="8">
        <v>46657.63</v>
      </c>
      <c r="D4" s="4" t="s">
        <v>192</v>
      </c>
    </row>
    <row r="5" spans="1:4" ht="15" customHeight="1" x14ac:dyDescent="0.35">
      <c r="A5" s="4" t="s">
        <v>138</v>
      </c>
      <c r="B5" s="4" t="s">
        <v>29</v>
      </c>
      <c r="C5" s="8">
        <v>48543.63</v>
      </c>
      <c r="D5" s="4" t="s">
        <v>192</v>
      </c>
    </row>
    <row r="6" spans="1:4" ht="15" customHeight="1" x14ac:dyDescent="0.35">
      <c r="A6" s="4" t="s">
        <v>143</v>
      </c>
      <c r="B6" s="4" t="s">
        <v>29</v>
      </c>
      <c r="C6" s="8">
        <v>48550.97</v>
      </c>
      <c r="D6" s="4" t="s">
        <v>192</v>
      </c>
    </row>
    <row r="7" spans="1:4" ht="15" customHeight="1" x14ac:dyDescent="0.35">
      <c r="A7" s="4" t="s">
        <v>86</v>
      </c>
      <c r="B7" s="4" t="s">
        <v>30</v>
      </c>
      <c r="C7" s="8">
        <v>11152.91</v>
      </c>
      <c r="D7" s="4" t="s">
        <v>192</v>
      </c>
    </row>
    <row r="8" spans="1:4" ht="15" customHeight="1" x14ac:dyDescent="0.35">
      <c r="A8" s="4" t="s">
        <v>138</v>
      </c>
      <c r="B8" s="4" t="s">
        <v>30</v>
      </c>
      <c r="C8" s="8">
        <v>13080.41</v>
      </c>
      <c r="D8" s="4" t="s">
        <v>192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5" customHeight="1" x14ac:dyDescent="0.35"/>
  <cols>
    <col min="1" max="1" width="12" customWidth="1"/>
    <col min="2" max="2" width="13" customWidth="1"/>
    <col min="3" max="3" width="14" customWidth="1"/>
    <col min="4" max="4" width="12" customWidth="1"/>
  </cols>
  <sheetData>
    <row r="1" spans="1:4" ht="15" customHeight="1" x14ac:dyDescent="0.35">
      <c r="A1" s="3" t="s">
        <v>193</v>
      </c>
      <c r="B1" s="3" t="s">
        <v>194</v>
      </c>
      <c r="C1" s="3" t="s">
        <v>195</v>
      </c>
      <c r="D1" s="3" t="s">
        <v>196</v>
      </c>
    </row>
    <row r="2" spans="1:4" ht="15" customHeight="1" x14ac:dyDescent="0.35">
      <c r="A2" s="4" t="s">
        <v>197</v>
      </c>
      <c r="B2" s="8">
        <f>SUMIFS(Dataset!$I$2:$I$121,Dataset!$B$2:$B$121,"&gt;="&amp;DATE(2025,1,1),Dataset!$B$2:$B$121,"&lt;"&amp;EDATE(DATE(2025,1,1),1))</f>
        <v>212352.49999999997</v>
      </c>
      <c r="C2" s="8">
        <f>SUMIFS(Dataset!$J$2:$J$121,Dataset!$B$2:$B$121,"&gt;="&amp;DATE(2025,1,1),Dataset!$B$2:$B$121,"&lt;"&amp;EDATE(DATE(2025,1,1),1))</f>
        <v>43251.48</v>
      </c>
      <c r="D2" s="4">
        <f>COUNTIFS(Dataset!$B$2:$B$121,"&gt;="&amp;DATE(2025,1,1),Dataset!$B$2:$B$121,"&lt;"&amp;EDATE(DATE(2025,1,1),1))</f>
        <v>11</v>
      </c>
    </row>
    <row r="3" spans="1:4" ht="15" customHeight="1" x14ac:dyDescent="0.35">
      <c r="A3" s="4" t="s">
        <v>198</v>
      </c>
      <c r="B3" s="8">
        <f>SUMIFS(Dataset!$I$2:$I$121,Dataset!$B$2:$B$121,"&gt;="&amp;DATE(2025,2,1),Dataset!$B$2:$B$121,"&lt;"&amp;EDATE(DATE(2025,2,1),1))</f>
        <v>183886.07999999999</v>
      </c>
      <c r="C3" s="8">
        <f>SUMIFS(Dataset!$J$2:$J$121,Dataset!$B$2:$B$121,"&gt;="&amp;DATE(2025,2,1),Dataset!$B$2:$B$121,"&lt;"&amp;EDATE(DATE(2025,2,1),1))</f>
        <v>31475.87</v>
      </c>
      <c r="D3" s="4">
        <f>COUNTIFS(Dataset!$B$2:$B$121,"&gt;="&amp;DATE(2025,2,1),Dataset!$B$2:$B$121,"&lt;"&amp;EDATE(DATE(2025,2,1),1))</f>
        <v>9</v>
      </c>
    </row>
    <row r="4" spans="1:4" ht="15" customHeight="1" x14ac:dyDescent="0.35">
      <c r="A4" s="4" t="s">
        <v>199</v>
      </c>
      <c r="B4" s="8">
        <f>SUMIFS(Dataset!$I$2:$I$121,Dataset!$B$2:$B$121,"&gt;="&amp;DATE(2025,3,1),Dataset!$B$2:$B$121,"&lt;"&amp;EDATE(DATE(2025,3,1),1))</f>
        <v>119496.32000000001</v>
      </c>
      <c r="C4" s="8">
        <f>SUMIFS(Dataset!$J$2:$J$121,Dataset!$B$2:$B$121,"&gt;="&amp;DATE(2025,3,1),Dataset!$B$2:$B$121,"&lt;"&amp;EDATE(DATE(2025,3,1),1))</f>
        <v>20684.550000000003</v>
      </c>
      <c r="D4" s="4">
        <f>COUNTIFS(Dataset!$B$2:$B$121,"&gt;="&amp;DATE(2025,3,1),Dataset!$B$2:$B$121,"&lt;"&amp;EDATE(DATE(2025,3,1),1))</f>
        <v>10</v>
      </c>
    </row>
    <row r="5" spans="1:4" ht="15" customHeight="1" x14ac:dyDescent="0.35">
      <c r="A5" s="4" t="s">
        <v>200</v>
      </c>
      <c r="B5" s="8">
        <f>SUMIFS(Dataset!$I$2:$I$121,Dataset!$B$2:$B$121,"&gt;="&amp;DATE(2025,4,1),Dataset!$B$2:$B$121,"&lt;"&amp;EDATE(DATE(2025,4,1),1))</f>
        <v>141916.69</v>
      </c>
      <c r="C5" s="8">
        <f>SUMIFS(Dataset!$J$2:$J$121,Dataset!$B$2:$B$121,"&gt;="&amp;DATE(2025,4,1),Dataset!$B$2:$B$121,"&lt;"&amp;EDATE(DATE(2025,4,1),1))</f>
        <v>28449.040000000005</v>
      </c>
      <c r="D5" s="4">
        <f>COUNTIFS(Dataset!$B$2:$B$121,"&gt;="&amp;DATE(2025,4,1),Dataset!$B$2:$B$121,"&lt;"&amp;EDATE(DATE(2025,4,1),1))</f>
        <v>10</v>
      </c>
    </row>
    <row r="6" spans="1:4" ht="15" customHeight="1" x14ac:dyDescent="0.35">
      <c r="A6" s="4" t="s">
        <v>201</v>
      </c>
      <c r="B6" s="8">
        <f>SUMIFS(Dataset!$I$2:$I$121,Dataset!$B$2:$B$121,"&gt;="&amp;DATE(2025,5,1),Dataset!$B$2:$B$121,"&lt;"&amp;EDATE(DATE(2025,5,1),1))</f>
        <v>128906.95000000001</v>
      </c>
      <c r="C6" s="8">
        <f>SUMIFS(Dataset!$J$2:$J$121,Dataset!$B$2:$B$121,"&gt;="&amp;DATE(2025,5,1),Dataset!$B$2:$B$121,"&lt;"&amp;EDATE(DATE(2025,5,1),1))</f>
        <v>29072.77</v>
      </c>
      <c r="D6" s="4">
        <f>COUNTIFS(Dataset!$B$2:$B$121,"&gt;="&amp;DATE(2025,5,1),Dataset!$B$2:$B$121,"&lt;"&amp;EDATE(DATE(2025,5,1),1))</f>
        <v>10</v>
      </c>
    </row>
    <row r="7" spans="1:4" ht="15" customHeight="1" x14ac:dyDescent="0.35">
      <c r="A7" s="4" t="s">
        <v>202</v>
      </c>
      <c r="B7" s="8">
        <f>SUMIFS(Dataset!$I$2:$I$121,Dataset!$B$2:$B$121,"&gt;="&amp;DATE(2025,6,1),Dataset!$B$2:$B$121,"&lt;"&amp;EDATE(DATE(2025,6,1),1))</f>
        <v>63254.789999999994</v>
      </c>
      <c r="C7" s="8">
        <f>SUMIFS(Dataset!$J$2:$J$121,Dataset!$B$2:$B$121,"&gt;="&amp;DATE(2025,6,1),Dataset!$B$2:$B$121,"&lt;"&amp;EDATE(DATE(2025,6,1),1))</f>
        <v>12315.31</v>
      </c>
      <c r="D7" s="4">
        <f>COUNTIFS(Dataset!$B$2:$B$121,"&gt;="&amp;DATE(2025,6,1),Dataset!$B$2:$B$121,"&lt;"&amp;EDATE(DATE(2025,6,1),1))</f>
        <v>10</v>
      </c>
    </row>
    <row r="8" spans="1:4" ht="15" customHeight="1" x14ac:dyDescent="0.35">
      <c r="A8" s="4" t="s">
        <v>203</v>
      </c>
      <c r="B8" s="8">
        <f>SUMIFS(Dataset!$I$2:$I$121,Dataset!$B$2:$B$121,"&gt;="&amp;DATE(2025,7,1),Dataset!$B$2:$B$121,"&lt;"&amp;EDATE(DATE(2025,7,1),1))</f>
        <v>163225.22999999998</v>
      </c>
      <c r="C8" s="8">
        <f>SUMIFS(Dataset!$J$2:$J$121,Dataset!$B$2:$B$121,"&gt;="&amp;DATE(2025,7,1),Dataset!$B$2:$B$121,"&lt;"&amp;EDATE(DATE(2025,7,1),1))</f>
        <v>32862.9</v>
      </c>
      <c r="D8" s="4">
        <f>COUNTIFS(Dataset!$B$2:$B$121,"&gt;="&amp;DATE(2025,7,1),Dataset!$B$2:$B$121,"&lt;"&amp;EDATE(DATE(2025,7,1),1))</f>
        <v>10</v>
      </c>
    </row>
    <row r="9" spans="1:4" ht="15" customHeight="1" x14ac:dyDescent="0.35">
      <c r="A9" s="4" t="s">
        <v>204</v>
      </c>
      <c r="B9" s="8">
        <f>SUMIFS(Dataset!$I$2:$I$121,Dataset!$B$2:$B$121,"&gt;="&amp;DATE(2025,8,1),Dataset!$B$2:$B$121,"&lt;"&amp;EDATE(DATE(2025,8,1),1))</f>
        <v>140530.09</v>
      </c>
      <c r="C9" s="8">
        <f>SUMIFS(Dataset!$J$2:$J$121,Dataset!$B$2:$B$121,"&gt;="&amp;DATE(2025,8,1),Dataset!$B$2:$B$121,"&lt;"&amp;EDATE(DATE(2025,8,1),1))</f>
        <v>27234.570000000007</v>
      </c>
      <c r="D9" s="4">
        <f>COUNTIFS(Dataset!$B$2:$B$121,"&gt;="&amp;DATE(2025,8,1),Dataset!$B$2:$B$121,"&lt;"&amp;EDATE(DATE(2025,8,1),1))</f>
        <v>10</v>
      </c>
    </row>
    <row r="10" spans="1:4" ht="15" customHeight="1" x14ac:dyDescent="0.35">
      <c r="A10" s="4" t="s">
        <v>205</v>
      </c>
      <c r="B10" s="8">
        <f>SUMIFS(Dataset!$I$2:$I$121,Dataset!$B$2:$B$121,"&gt;="&amp;DATE(2025,9,1),Dataset!$B$2:$B$121,"&lt;"&amp;EDATE(DATE(2025,9,1),1))</f>
        <v>237836.90999999997</v>
      </c>
      <c r="C10" s="8">
        <f>SUMIFS(Dataset!$J$2:$J$121,Dataset!$B$2:$B$121,"&gt;="&amp;DATE(2025,9,1),Dataset!$B$2:$B$121,"&lt;"&amp;EDATE(DATE(2025,9,1),1))</f>
        <v>46340.049999999996</v>
      </c>
      <c r="D10" s="4">
        <f>COUNTIFS(Dataset!$B$2:$B$121,"&gt;="&amp;DATE(2025,9,1),Dataset!$B$2:$B$121,"&lt;"&amp;EDATE(DATE(2025,9,1),1))</f>
        <v>10</v>
      </c>
    </row>
    <row r="11" spans="1:4" ht="15" customHeight="1" x14ac:dyDescent="0.35">
      <c r="A11" s="4" t="s">
        <v>206</v>
      </c>
      <c r="B11" s="8">
        <f>SUMIFS(Dataset!$I$2:$I$121,Dataset!$B$2:$B$121,"&gt;="&amp;DATE(2025,10,1),Dataset!$B$2:$B$121,"&lt;"&amp;EDATE(DATE(2025,10,1),1))</f>
        <v>112471.84</v>
      </c>
      <c r="C11" s="8">
        <f>SUMIFS(Dataset!$J$2:$J$121,Dataset!$B$2:$B$121,"&gt;="&amp;DATE(2025,10,1),Dataset!$B$2:$B$121,"&lt;"&amp;EDATE(DATE(2025,10,1),1))</f>
        <v>23388.539999999997</v>
      </c>
      <c r="D11" s="4">
        <f>COUNTIFS(Dataset!$B$2:$B$121,"&gt;="&amp;DATE(2025,10,1),Dataset!$B$2:$B$121,"&lt;"&amp;EDATE(DATE(2025,10,1),1))</f>
        <v>10</v>
      </c>
    </row>
    <row r="12" spans="1:4" ht="15" customHeight="1" x14ac:dyDescent="0.35">
      <c r="A12" s="4" t="s">
        <v>207</v>
      </c>
      <c r="B12" s="8">
        <f>SUMIFS(Dataset!$I$2:$I$121,Dataset!$B$2:$B$121,"&gt;="&amp;DATE(2025,11,1),Dataset!$B$2:$B$121,"&lt;"&amp;EDATE(DATE(2025,11,1),1))</f>
        <v>146972.29</v>
      </c>
      <c r="C12" s="8">
        <f>SUMIFS(Dataset!$J$2:$J$121,Dataset!$B$2:$B$121,"&gt;="&amp;DATE(2025,11,1),Dataset!$B$2:$B$121,"&lt;"&amp;EDATE(DATE(2025,11,1),1))</f>
        <v>29551.43</v>
      </c>
      <c r="D12" s="4">
        <f>COUNTIFS(Dataset!$B$2:$B$121,"&gt;="&amp;DATE(2025,11,1),Dataset!$B$2:$B$121,"&lt;"&amp;EDATE(DATE(2025,11,1),1))</f>
        <v>10</v>
      </c>
    </row>
    <row r="13" spans="1:4" ht="15" customHeight="1" x14ac:dyDescent="0.35">
      <c r="A13" s="4" t="s">
        <v>208</v>
      </c>
      <c r="B13" s="8">
        <f>SUMIFS(Dataset!$I$2:$I$121,Dataset!$B$2:$B$121,"&gt;="&amp;DATE(2025,12,1),Dataset!$B$2:$B$121,"&lt;"&amp;EDATE(DATE(2025,12,1),1))</f>
        <v>98089.330000000016</v>
      </c>
      <c r="C13" s="8">
        <f>SUMIFS(Dataset!$J$2:$J$121,Dataset!$B$2:$B$121,"&gt;="&amp;DATE(2025,12,1),Dataset!$B$2:$B$121,"&lt;"&amp;EDATE(DATE(2025,12,1),1))</f>
        <v>15275.96</v>
      </c>
      <c r="D13" s="4">
        <f>COUNTIFS(Dataset!$B$2:$B$121,"&gt;="&amp;DATE(2025,12,1),Dataset!$B$2:$B$121,"&lt;"&amp;EDATE(DATE(2025,12,1),1))</f>
        <v>10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"/>
  <sheetViews>
    <sheetView zoomScaleNormal="100" workbookViewId="0">
      <selection activeCell="C3" sqref="C3"/>
    </sheetView>
  </sheetViews>
  <sheetFormatPr defaultColWidth="8.6328125" defaultRowHeight="15" customHeight="1" x14ac:dyDescent="0.35"/>
  <cols>
    <col min="1" max="1" width="17" customWidth="1"/>
    <col min="2" max="2" width="12" customWidth="1"/>
    <col min="3" max="3" width="13" customWidth="1"/>
    <col min="4" max="4" width="14" customWidth="1"/>
    <col min="5" max="6" width="12" customWidth="1"/>
  </cols>
  <sheetData>
    <row r="1" spans="1:6" ht="15" customHeight="1" x14ac:dyDescent="0.35">
      <c r="A1" s="3" t="s">
        <v>24</v>
      </c>
      <c r="B1" s="3" t="s">
        <v>196</v>
      </c>
      <c r="C1" s="3" t="s">
        <v>194</v>
      </c>
      <c r="D1" s="3" t="s">
        <v>195</v>
      </c>
      <c r="E1" s="3" t="s">
        <v>209</v>
      </c>
      <c r="F1" s="3" t="s">
        <v>210</v>
      </c>
    </row>
    <row r="2" spans="1:6" ht="15" customHeight="1" x14ac:dyDescent="0.35">
      <c r="A2" s="4" t="s">
        <v>39</v>
      </c>
      <c r="B2" s="4">
        <f>COUNTIF(Dataset!$D$2:$D$121,A2)</f>
        <v>48</v>
      </c>
      <c r="C2" s="8">
        <f>SUMIF(Dataset!$D$2:$D$121,A2,Dataset!$I$2:$I$121)</f>
        <v>942702.75999999978</v>
      </c>
      <c r="D2" s="8">
        <f>SUMIF(Dataset!$D$2:$D$121,A2,Dataset!$J$2:$J$121)</f>
        <v>189599.04</v>
      </c>
      <c r="E2" s="8">
        <f>AVERAGEIF(Dataset!$D$2:$D$121,A2,Dataset!$I$2:$I$121)</f>
        <v>19639.640833333327</v>
      </c>
      <c r="F2" s="4">
        <f>AVERAGEIF(Dataset!$D$2:$D$121,A2,Dataset!$L$2:$L$121)</f>
        <v>3.9020833333333336</v>
      </c>
    </row>
    <row r="3" spans="1:6" ht="15" customHeight="1" x14ac:dyDescent="0.35">
      <c r="A3" s="4" t="s">
        <v>43</v>
      </c>
      <c r="B3" s="4">
        <f>COUNTIF(Dataset!$D$2:$D$121,A3)</f>
        <v>37</v>
      </c>
      <c r="C3" s="8">
        <f>SUMIF(Dataset!$D$2:$D$121,A3,Dataset!$I$2:$I$121)</f>
        <v>610851.7699999999</v>
      </c>
      <c r="D3" s="8">
        <f>SUMIF(Dataset!$D$2:$D$121,A3,Dataset!$J$2:$J$121)</f>
        <v>112249.61</v>
      </c>
      <c r="E3" s="8">
        <f>AVERAGEIF(Dataset!$D$2:$D$121,A3,Dataset!$I$2:$I$121)</f>
        <v>16509.507297297296</v>
      </c>
      <c r="F3" s="4">
        <f>AVERAGEIF(Dataset!$D$2:$D$121,A3,Dataset!$L$2:$L$121)</f>
        <v>3.827027027027027</v>
      </c>
    </row>
    <row r="4" spans="1:6" ht="15" customHeight="1" x14ac:dyDescent="0.35">
      <c r="A4" s="4" t="s">
        <v>35</v>
      </c>
      <c r="B4" s="4">
        <f>COUNTIF(Dataset!$D$2:$D$121,A4)</f>
        <v>35</v>
      </c>
      <c r="C4" s="8">
        <f>SUMIF(Dataset!$D$2:$D$121,A4,Dataset!$I$2:$I$121)</f>
        <v>195384.48999999996</v>
      </c>
      <c r="D4" s="8">
        <f>SUMIF(Dataset!$D$2:$D$121,A4,Dataset!$J$2:$J$121)</f>
        <v>38053.820000000007</v>
      </c>
      <c r="E4" s="8">
        <f>AVERAGEIF(Dataset!$D$2:$D$121,A4,Dataset!$I$2:$I$121)</f>
        <v>5582.4139999999989</v>
      </c>
      <c r="F4" s="4">
        <f>AVERAGEIF(Dataset!$D$2:$D$121,A4,Dataset!$L$2:$L$121)</f>
        <v>4.0599999999999996</v>
      </c>
    </row>
  </sheetData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zoomScaleNormal="100" workbookViewId="0">
      <pane ySplit="1" topLeftCell="A2" activePane="bottomLeft" state="frozen"/>
      <selection pane="bottomLeft" activeCell="C3" sqref="C3"/>
    </sheetView>
  </sheetViews>
  <sheetFormatPr defaultColWidth="8.6328125" defaultRowHeight="15" customHeight="1" x14ac:dyDescent="0.35"/>
  <cols>
    <col min="1" max="2" width="12" customWidth="1"/>
    <col min="3" max="3" width="13" customWidth="1"/>
    <col min="4" max="4" width="14" customWidth="1"/>
  </cols>
  <sheetData>
    <row r="1" spans="1:4" ht="15" customHeight="1" x14ac:dyDescent="0.35">
      <c r="A1" s="3" t="s">
        <v>23</v>
      </c>
      <c r="B1" s="3" t="s">
        <v>196</v>
      </c>
      <c r="C1" s="3" t="s">
        <v>194</v>
      </c>
      <c r="D1" s="3" t="s">
        <v>195</v>
      </c>
    </row>
    <row r="2" spans="1:4" ht="15" customHeight="1" x14ac:dyDescent="0.35">
      <c r="A2" s="4" t="s">
        <v>56</v>
      </c>
      <c r="B2" s="4">
        <f>COUNTIF(Dataset!$C$2:$C$121,A2)</f>
        <v>21</v>
      </c>
      <c r="C2" s="8">
        <f>SUMIF(Dataset!$C$2:$C$121,A2,Dataset!$I$2:$I$121)</f>
        <v>235096.31000000006</v>
      </c>
      <c r="D2" s="8">
        <f>SUMIF(Dataset!$C$2:$C$121,A2,Dataset!$J$2:$J$121)</f>
        <v>43813.400000000009</v>
      </c>
    </row>
    <row r="3" spans="1:4" ht="15" customHeight="1" x14ac:dyDescent="0.35">
      <c r="A3" s="4" t="s">
        <v>42</v>
      </c>
      <c r="B3" s="4">
        <f>COUNTIF(Dataset!$C$2:$C$121,A3)</f>
        <v>22</v>
      </c>
      <c r="C3" s="8">
        <f>SUMIF(Dataset!$C$2:$C$121,A3,Dataset!$I$2:$I$121)</f>
        <v>313241.26000000007</v>
      </c>
      <c r="D3" s="8">
        <f>SUMIF(Dataset!$C$2:$C$121,A3,Dataset!$J$2:$J$121)</f>
        <v>53951.560000000005</v>
      </c>
    </row>
    <row r="4" spans="1:4" ht="15" customHeight="1" x14ac:dyDescent="0.35">
      <c r="A4" s="4" t="s">
        <v>34</v>
      </c>
      <c r="B4" s="4">
        <f>COUNTIF(Dataset!$C$2:$C$121,A4)</f>
        <v>17</v>
      </c>
      <c r="C4" s="8">
        <f>SUMIF(Dataset!$C$2:$C$121,A4,Dataset!$I$2:$I$121)</f>
        <v>284562.78999999998</v>
      </c>
      <c r="D4" s="8">
        <f>SUMIF(Dataset!$C$2:$C$121,A4,Dataset!$J$2:$J$121)</f>
        <v>58370.22</v>
      </c>
    </row>
    <row r="5" spans="1:4" ht="15" customHeight="1" x14ac:dyDescent="0.35">
      <c r="A5" s="4" t="s">
        <v>50</v>
      </c>
      <c r="B5" s="4">
        <f>COUNTIF(Dataset!$C$2:$C$121,A5)</f>
        <v>20</v>
      </c>
      <c r="C5" s="8">
        <f>SUMIF(Dataset!$C$2:$C$121,A5,Dataset!$I$2:$I$121)</f>
        <v>316833.63000000006</v>
      </c>
      <c r="D5" s="8">
        <f>SUMIF(Dataset!$C$2:$C$121,A5,Dataset!$J$2:$J$121)</f>
        <v>66173.249999999985</v>
      </c>
    </row>
    <row r="6" spans="1:4" ht="15" customHeight="1" x14ac:dyDescent="0.35">
      <c r="A6" s="4" t="s">
        <v>63</v>
      </c>
      <c r="B6" s="4">
        <f>COUNTIF(Dataset!$C$2:$C$121,A6)</f>
        <v>17</v>
      </c>
      <c r="C6" s="8">
        <f>SUMIF(Dataset!$C$2:$C$121,A6,Dataset!$I$2:$I$121)</f>
        <v>261956.77999999994</v>
      </c>
      <c r="D6" s="8">
        <f>SUMIF(Dataset!$C$2:$C$121,A6,Dataset!$J$2:$J$121)</f>
        <v>52236.270000000004</v>
      </c>
    </row>
    <row r="7" spans="1:4" ht="15" customHeight="1" x14ac:dyDescent="0.35">
      <c r="A7" s="4" t="s">
        <v>38</v>
      </c>
      <c r="B7" s="4">
        <f>COUNTIF(Dataset!$C$2:$C$121,A7)</f>
        <v>23</v>
      </c>
      <c r="C7" s="8">
        <f>SUMIF(Dataset!$C$2:$C$121,A7,Dataset!$I$2:$I$121)</f>
        <v>337248.25000000006</v>
      </c>
      <c r="D7" s="8">
        <f>SUMIF(Dataset!$C$2:$C$121,A7,Dataset!$J$2:$J$121)</f>
        <v>65357.77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5" customHeight="1" x14ac:dyDescent="0.35"/>
  <cols>
    <col min="1" max="1" width="17" customWidth="1"/>
    <col min="2" max="5" width="12" customWidth="1"/>
    <col min="6" max="6" width="17" customWidth="1"/>
  </cols>
  <sheetData>
    <row r="1" spans="1:6" ht="15" customHeight="1" x14ac:dyDescent="0.35">
      <c r="A1" s="3"/>
      <c r="B1" s="3" t="s">
        <v>27</v>
      </c>
      <c r="C1" s="3" t="s">
        <v>28</v>
      </c>
      <c r="D1" s="3" t="s">
        <v>29</v>
      </c>
      <c r="E1" s="3" t="s">
        <v>30</v>
      </c>
      <c r="F1" s="3" t="s">
        <v>32</v>
      </c>
    </row>
    <row r="2" spans="1:6" ht="15" customHeight="1" x14ac:dyDescent="0.35">
      <c r="A2" s="12" t="s">
        <v>27</v>
      </c>
      <c r="B2" s="4">
        <f>CORREL(Dataset!$G$2:$G$121,Dataset!$G$2:$G$121)</f>
        <v>1</v>
      </c>
      <c r="C2" s="4">
        <f>CORREL(Dataset!$G$2:$G$121,Dataset!$H$2:$H$121)</f>
        <v>6.7775367673072504E-2</v>
      </c>
      <c r="D2" s="4">
        <f>CORREL(Dataset!$G$2:$G$121,Dataset!$I$2:$I$121)</f>
        <v>0.55041489533450982</v>
      </c>
      <c r="E2" s="4">
        <f>CORREL(Dataset!$G$2:$G$121,Dataset!$J$2:$J$121)</f>
        <v>0.48378130259434332</v>
      </c>
      <c r="F2" s="4">
        <f>CORREL(Dataset!$G$2:$G$121,Dataset!$L$2:$L$121)</f>
        <v>-1.1935321033807218E-2</v>
      </c>
    </row>
    <row r="3" spans="1:6" ht="15" customHeight="1" x14ac:dyDescent="0.35">
      <c r="A3" s="12" t="s">
        <v>28</v>
      </c>
      <c r="B3" s="4">
        <f>CORREL(Dataset!$H$2:$H$121,Dataset!$G$2:$G$121)</f>
        <v>6.7775367673072504E-2</v>
      </c>
      <c r="C3" s="4">
        <f>CORREL(Dataset!$H$2:$H$121,Dataset!$H$2:$H$121)</f>
        <v>1</v>
      </c>
      <c r="D3" s="4">
        <f>CORREL(Dataset!$H$2:$H$121,Dataset!$I$2:$I$121)</f>
        <v>-0.10336032032419155</v>
      </c>
      <c r="E3" s="4">
        <f>CORREL(Dataset!$H$2:$H$121,Dataset!$J$2:$J$121)</f>
        <v>-6.9149176456205691E-2</v>
      </c>
      <c r="F3" s="4">
        <f>CORREL(Dataset!$H$2:$H$121,Dataset!$L$2:$L$121)</f>
        <v>-9.1288932176373322E-2</v>
      </c>
    </row>
    <row r="4" spans="1:6" ht="15" customHeight="1" x14ac:dyDescent="0.35">
      <c r="A4" s="12" t="s">
        <v>29</v>
      </c>
      <c r="B4" s="4">
        <f>CORREL(Dataset!$I$2:$I$121,Dataset!$G$2:$G$121)</f>
        <v>0.55041489533450982</v>
      </c>
      <c r="C4" s="4">
        <f>CORREL(Dataset!$I$2:$I$121,Dataset!$H$2:$H$121)</f>
        <v>-0.10336032032419155</v>
      </c>
      <c r="D4" s="4">
        <f>CORREL(Dataset!$I$2:$I$121,Dataset!$I$2:$I$121)</f>
        <v>0.99999999999999978</v>
      </c>
      <c r="E4" s="4">
        <f>CORREL(Dataset!$I$2:$I$121,Dataset!$J$2:$J$121)</f>
        <v>0.92865999511206776</v>
      </c>
      <c r="F4" s="4">
        <f>CORREL(Dataset!$I$2:$I$121,Dataset!$L$2:$L$121)</f>
        <v>-0.10738320304179709</v>
      </c>
    </row>
    <row r="5" spans="1:6" ht="15" customHeight="1" x14ac:dyDescent="0.35">
      <c r="A5" s="12" t="s">
        <v>30</v>
      </c>
      <c r="B5" s="4">
        <f>CORREL(Dataset!$J$2:$J$121,Dataset!$G$2:$G$121)</f>
        <v>0.48378130259434332</v>
      </c>
      <c r="C5" s="4">
        <f>CORREL(Dataset!$J$2:$J$121,Dataset!$H$2:$H$121)</f>
        <v>-6.9149176456205691E-2</v>
      </c>
      <c r="D5" s="4">
        <f>CORREL(Dataset!$J$2:$J$121,Dataset!$I$2:$I$121)</f>
        <v>0.92865999511206776</v>
      </c>
      <c r="E5" s="4">
        <f>CORREL(Dataset!$J$2:$J$121,Dataset!$J$2:$J$121)</f>
        <v>0.99999999999999989</v>
      </c>
      <c r="F5" s="4">
        <f>CORREL(Dataset!$J$2:$J$121,Dataset!$L$2:$L$121)</f>
        <v>-9.7165165407969226E-2</v>
      </c>
    </row>
    <row r="6" spans="1:6" ht="15" customHeight="1" x14ac:dyDescent="0.35">
      <c r="A6" s="12" t="s">
        <v>32</v>
      </c>
      <c r="B6" s="4">
        <f>CORREL(Dataset!$L$2:$L$121,Dataset!$G$2:$G$121)</f>
        <v>-1.1935321033807218E-2</v>
      </c>
      <c r="C6" s="4">
        <f>CORREL(Dataset!$L$2:$L$121,Dataset!$H$2:$H$121)</f>
        <v>-9.1288932176373322E-2</v>
      </c>
      <c r="D6" s="4">
        <f>CORREL(Dataset!$L$2:$L$121,Dataset!$I$2:$I$121)</f>
        <v>-0.10738320304179709</v>
      </c>
      <c r="E6" s="4">
        <f>CORREL(Dataset!$L$2:$L$121,Dataset!$J$2:$J$121)</f>
        <v>-9.7165165407969226E-2</v>
      </c>
      <c r="F6" s="4">
        <f>CORREL(Dataset!$L$2:$L$121,Dataset!$L$2:$L$121)</f>
        <v>0.99999999999999978</v>
      </c>
    </row>
  </sheetData>
  <conditionalFormatting sqref="B2:F6">
    <cfRule type="colorScale" priority="2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"/>
  <sheetViews>
    <sheetView tabSelected="1" zoomScaleNormal="100" workbookViewId="0">
      <pane ySplit="1" topLeftCell="A2" activePane="bottomLeft" state="frozen"/>
      <selection pane="bottomLeft" activeCell="E1" sqref="E1:F1"/>
    </sheetView>
  </sheetViews>
  <sheetFormatPr defaultColWidth="8.6328125" defaultRowHeight="15" customHeight="1" x14ac:dyDescent="0.35"/>
  <cols>
    <col min="1" max="1" width="8" customWidth="1"/>
    <col min="2" max="2" width="127.81640625" customWidth="1"/>
  </cols>
  <sheetData>
    <row r="1" spans="1:6" ht="15" customHeight="1" x14ac:dyDescent="0.35">
      <c r="A1" s="18" t="s">
        <v>211</v>
      </c>
      <c r="B1" s="16"/>
      <c r="C1" s="18"/>
      <c r="D1" s="16"/>
      <c r="E1" s="18"/>
      <c r="F1" s="16"/>
    </row>
    <row r="2" spans="1:6" ht="15" customHeight="1" x14ac:dyDescent="0.35">
      <c r="A2" s="17" t="s">
        <v>212</v>
      </c>
      <c r="B2" s="16"/>
    </row>
    <row r="3" spans="1:6" ht="15" customHeight="1" x14ac:dyDescent="0.35">
      <c r="A3" s="17" t="s">
        <v>213</v>
      </c>
      <c r="B3" s="16"/>
    </row>
    <row r="5" spans="1:6" ht="15" customHeight="1" x14ac:dyDescent="0.35">
      <c r="A5" s="3" t="s">
        <v>214</v>
      </c>
      <c r="B5" s="3" t="s">
        <v>215</v>
      </c>
    </row>
    <row r="6" spans="1:6" ht="15" customHeight="1" x14ac:dyDescent="0.35">
      <c r="A6" s="4" t="s">
        <v>216</v>
      </c>
      <c r="B6" s="4" t="s">
        <v>217</v>
      </c>
    </row>
    <row r="7" spans="1:6" ht="15" customHeight="1" x14ac:dyDescent="0.35">
      <c r="A7" s="4" t="s">
        <v>218</v>
      </c>
      <c r="B7" s="4" t="s">
        <v>219</v>
      </c>
    </row>
    <row r="8" spans="1:6" ht="15" customHeight="1" x14ac:dyDescent="0.35">
      <c r="A8" s="4" t="s">
        <v>220</v>
      </c>
      <c r="B8" s="4" t="s">
        <v>221</v>
      </c>
    </row>
    <row r="9" spans="1:6" ht="15" customHeight="1" x14ac:dyDescent="0.35">
      <c r="A9" s="4" t="s">
        <v>222</v>
      </c>
      <c r="B9" s="4" t="s">
        <v>223</v>
      </c>
    </row>
    <row r="10" spans="1:6" ht="15" customHeight="1" x14ac:dyDescent="0.35">
      <c r="A10" s="4" t="s">
        <v>224</v>
      </c>
      <c r="B10" s="4" t="s">
        <v>225</v>
      </c>
    </row>
    <row r="11" spans="1:6" ht="15" customHeight="1" x14ac:dyDescent="0.35">
      <c r="A11" s="4" t="s">
        <v>226</v>
      </c>
      <c r="B11" s="4" t="s">
        <v>227</v>
      </c>
    </row>
    <row r="12" spans="1:6" ht="15" customHeight="1" x14ac:dyDescent="0.35">
      <c r="A12" s="4" t="s">
        <v>228</v>
      </c>
      <c r="B12" s="4" t="s">
        <v>229</v>
      </c>
    </row>
    <row r="13" spans="1:6" ht="15" customHeight="1" x14ac:dyDescent="0.35">
      <c r="A13" s="4"/>
      <c r="B13" s="4"/>
    </row>
    <row r="14" spans="1:6" ht="15" customHeight="1" x14ac:dyDescent="0.35">
      <c r="A14" s="4"/>
      <c r="B14" s="4"/>
    </row>
    <row r="15" spans="1:6" ht="15" customHeight="1" x14ac:dyDescent="0.35">
      <c r="A15" s="13" t="s">
        <v>214</v>
      </c>
      <c r="B15" s="13" t="s">
        <v>230</v>
      </c>
    </row>
    <row r="16" spans="1:6" ht="15" customHeight="1" x14ac:dyDescent="0.35">
      <c r="A16" s="4" t="s">
        <v>216</v>
      </c>
      <c r="B16" s="4" t="s">
        <v>231</v>
      </c>
    </row>
    <row r="17" spans="1:2" ht="14.5" x14ac:dyDescent="0.35">
      <c r="A17" s="4" t="s">
        <v>218</v>
      </c>
      <c r="B17" s="4" t="s">
        <v>232</v>
      </c>
    </row>
    <row r="18" spans="1:2" ht="14.5" x14ac:dyDescent="0.35">
      <c r="A18" s="4" t="s">
        <v>220</v>
      </c>
      <c r="B18" s="4" t="s">
        <v>233</v>
      </c>
    </row>
    <row r="19" spans="1:2" ht="14.5" x14ac:dyDescent="0.35">
      <c r="A19" s="4" t="s">
        <v>222</v>
      </c>
      <c r="B19" s="4" t="s">
        <v>234</v>
      </c>
    </row>
    <row r="20" spans="1:2" ht="14.5" x14ac:dyDescent="0.35">
      <c r="A20" s="4" t="s">
        <v>224</v>
      </c>
      <c r="B20" s="4" t="s">
        <v>235</v>
      </c>
    </row>
  </sheetData>
  <mergeCells count="5">
    <mergeCell ref="A3:B3"/>
    <mergeCell ref="A2:B2"/>
    <mergeCell ref="A1:B1"/>
    <mergeCell ref="C1:D1"/>
    <mergeCell ref="E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Dataset</vt:lpstr>
      <vt:lpstr>Basic Statistics</vt:lpstr>
      <vt:lpstr>Outlier Summary</vt:lpstr>
      <vt:lpstr>Outliers</vt:lpstr>
      <vt:lpstr>Monthly Trend</vt:lpstr>
      <vt:lpstr>Category Analysis</vt:lpstr>
      <vt:lpstr>City Analysis</vt:lpstr>
      <vt:lpstr>Correlation</vt:lpstr>
      <vt:lpstr>Insights &amp;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1199 DIYA DARJI</cp:lastModifiedBy>
  <cp:revision>0</cp:revision>
  <dcterms:created xsi:type="dcterms:W3CDTF">2026-09-02T08:42:48Z</dcterms:created>
  <dcterms:modified xsi:type="dcterms:W3CDTF">2026-09-09T04:00:14Z</dcterms:modified>
  <dc:language>en-US</dc:language>
</cp:coreProperties>
</file>